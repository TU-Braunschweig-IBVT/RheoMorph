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0f9b98384af4391/Desktop/Morph/"/>
    </mc:Choice>
  </mc:AlternateContent>
  <xr:revisionPtr revIDLastSave="455" documentId="13_ncr:1_{50FC0BB8-06FB-4A96-9CEA-CABBB8A14F4D}" xr6:coauthVersionLast="47" xr6:coauthVersionMax="47" xr10:uidLastSave="{3CAA76B8-E658-418F-9C8D-8E98826E189D}"/>
  <bookViews>
    <workbookView xWindow="43080" yWindow="-120" windowWidth="29040" windowHeight="15720" xr2:uid="{00000000-000D-0000-FFFF-FFFF00000000}"/>
  </bookViews>
  <sheets>
    <sheet name="Sheet1" sheetId="1" r:id="rId1"/>
    <sheet name="Optimis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C28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C27" i="2"/>
  <c r="D6" i="2"/>
  <c r="E6" i="2"/>
  <c r="F6" i="2"/>
  <c r="F7" i="2"/>
  <c r="D7" i="2" l="1"/>
  <c r="E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X7" i="2"/>
  <c r="AA7" i="2"/>
  <c r="AC7" i="2"/>
  <c r="C7" i="2"/>
  <c r="Y6" i="2"/>
  <c r="S6" i="2"/>
  <c r="R6" i="2"/>
  <c r="Q6" i="2"/>
  <c r="P6" i="2"/>
  <c r="O6" i="2"/>
  <c r="N6" i="2"/>
  <c r="M6" i="2"/>
  <c r="J6" i="2"/>
  <c r="I6" i="2"/>
  <c r="H6" i="2"/>
  <c r="G6" i="2"/>
  <c r="K6" i="2"/>
  <c r="L6" i="2"/>
  <c r="T6" i="2"/>
  <c r="U6" i="2"/>
  <c r="V6" i="2"/>
  <c r="X6" i="2"/>
  <c r="Z6" i="2"/>
  <c r="AA6" i="2"/>
  <c r="AC6" i="2"/>
  <c r="C6" i="2"/>
  <c r="Q132" i="1" l="1"/>
  <c r="Q133" i="1"/>
  <c r="Q129" i="1"/>
  <c r="Q130" i="1"/>
  <c r="Q131" i="1"/>
  <c r="Q128" i="1"/>
  <c r="Q123" i="1"/>
  <c r="Q124" i="1"/>
  <c r="Q126" i="1"/>
  <c r="Q127" i="1"/>
  <c r="Q125" i="1"/>
  <c r="Q122" i="1"/>
  <c r="I130" i="1"/>
  <c r="H130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96" i="1"/>
  <c r="Q97" i="1"/>
  <c r="Q99" i="1"/>
  <c r="Q100" i="1"/>
  <c r="Q98" i="1"/>
  <c r="Q95" i="1"/>
  <c r="Q93" i="1"/>
  <c r="Q94" i="1"/>
  <c r="Q90" i="1"/>
  <c r="Q91" i="1"/>
  <c r="Q92" i="1"/>
  <c r="Q89" i="1"/>
  <c r="Q87" i="1"/>
  <c r="Q88" i="1"/>
  <c r="Q86" i="1"/>
  <c r="Q84" i="1"/>
  <c r="Q85" i="1"/>
  <c r="Q83" i="1"/>
  <c r="Q82" i="1"/>
  <c r="Q81" i="1"/>
  <c r="Q80" i="1"/>
</calcChain>
</file>

<file path=xl/sharedStrings.xml><?xml version="1.0" encoding="utf-8"?>
<sst xmlns="http://schemas.openxmlformats.org/spreadsheetml/2006/main" count="362" uniqueCount="217">
  <si>
    <t>Sample</t>
  </si>
  <si>
    <t>544nm_avg</t>
  </si>
  <si>
    <t>544nm_std</t>
  </si>
  <si>
    <t>Blue_std</t>
  </si>
  <si>
    <t>Red_std</t>
  </si>
  <si>
    <t>BTM [g/L]</t>
  </si>
  <si>
    <t>BTM_dev</t>
  </si>
  <si>
    <t>pH</t>
  </si>
  <si>
    <t>pH_dev</t>
  </si>
  <si>
    <t>d</t>
  </si>
  <si>
    <t>d_dev</t>
  </si>
  <si>
    <t>Time [h]</t>
  </si>
  <si>
    <t>Theme</t>
  </si>
  <si>
    <t>Osmo</t>
  </si>
  <si>
    <t>Conc</t>
  </si>
  <si>
    <t>rpm</t>
  </si>
  <si>
    <t>Start pH</t>
  </si>
  <si>
    <t>Vol</t>
  </si>
  <si>
    <t>10^5</t>
  </si>
  <si>
    <t>conc</t>
  </si>
  <si>
    <t>10^6</t>
  </si>
  <si>
    <t>10^7</t>
  </si>
  <si>
    <t>10^8</t>
  </si>
  <si>
    <t>10^9</t>
  </si>
  <si>
    <t>pH 6</t>
  </si>
  <si>
    <t>pH 7</t>
  </si>
  <si>
    <t>pH 7.5</t>
  </si>
  <si>
    <t>pH 8</t>
  </si>
  <si>
    <t>vol</t>
  </si>
  <si>
    <t>K15</t>
  </si>
  <si>
    <t>K1</t>
  </si>
  <si>
    <t>K17.1</t>
  </si>
  <si>
    <t>K2</t>
  </si>
  <si>
    <t>K17.2</t>
  </si>
  <si>
    <t>K3</t>
  </si>
  <si>
    <t>K18.1.1</t>
  </si>
  <si>
    <t>K4</t>
  </si>
  <si>
    <t>K18.1.2</t>
  </si>
  <si>
    <t>K18.1.3</t>
  </si>
  <si>
    <t>K18.1.4</t>
  </si>
  <si>
    <t>K18.1.5</t>
  </si>
  <si>
    <t>K18.1.6</t>
  </si>
  <si>
    <t>K18.1.7</t>
  </si>
  <si>
    <t>K18.1.8</t>
  </si>
  <si>
    <t>K18.1.9</t>
  </si>
  <si>
    <t>K18.1.10</t>
  </si>
  <si>
    <t>DOE 1.3</t>
  </si>
  <si>
    <t>DOE 2.3</t>
  </si>
  <si>
    <t>DOE 1.5</t>
  </si>
  <si>
    <t>DOE 1.7</t>
  </si>
  <si>
    <t>DOE 2.5</t>
  </si>
  <si>
    <t>DOE 2.7</t>
  </si>
  <si>
    <t>DOE 3.3</t>
  </si>
  <si>
    <t>DOE 3.5</t>
  </si>
  <si>
    <t>DOE 3.7</t>
  </si>
  <si>
    <t>DOE 4.3</t>
  </si>
  <si>
    <t>DOE 4.5</t>
  </si>
  <si>
    <t>DOE 4.7</t>
  </si>
  <si>
    <t>DOE 5.3</t>
  </si>
  <si>
    <t>DOE 5.5</t>
  </si>
  <si>
    <t>DOE 5.7</t>
  </si>
  <si>
    <t>DOE 6.3</t>
  </si>
  <si>
    <t>DOE 6.5</t>
  </si>
  <si>
    <t>DOE 6.7</t>
  </si>
  <si>
    <t>DOE 7.3</t>
  </si>
  <si>
    <t>DOE 7.5</t>
  </si>
  <si>
    <t>DOE 7.7</t>
  </si>
  <si>
    <t>DOE 8.3</t>
  </si>
  <si>
    <t>DOE 8.5</t>
  </si>
  <si>
    <t>DOE 8.7</t>
  </si>
  <si>
    <t>DOE 9.3</t>
  </si>
  <si>
    <t>DOE 9.5</t>
  </si>
  <si>
    <t>DOE 9.7</t>
  </si>
  <si>
    <t>DOE 10.3</t>
  </si>
  <si>
    <t>DOE 10.5</t>
  </si>
  <si>
    <t>DOE 10.7</t>
  </si>
  <si>
    <t>DOE 11.3</t>
  </si>
  <si>
    <t>DOE 11.5</t>
  </si>
  <si>
    <t>DOE 11.7</t>
  </si>
  <si>
    <t>DOE 12.3</t>
  </si>
  <si>
    <t>DOE 12.5</t>
  </si>
  <si>
    <t>DOE 12.7</t>
  </si>
  <si>
    <t>DOE 13.3</t>
  </si>
  <si>
    <t>DOE 14.3</t>
  </si>
  <si>
    <t>DOE 15.3</t>
  </si>
  <si>
    <t>DOE 16.3</t>
  </si>
  <si>
    <t>DOE 1</t>
  </si>
  <si>
    <t>DOE 2</t>
  </si>
  <si>
    <t>DOE 3</t>
  </si>
  <si>
    <t>DOE 4</t>
  </si>
  <si>
    <t>DOE 5</t>
  </si>
  <si>
    <t>DOE 6</t>
  </si>
  <si>
    <t>DOE 7</t>
  </si>
  <si>
    <t>DOE 8</t>
  </si>
  <si>
    <t>DOE 9</t>
  </si>
  <si>
    <t>DOE 10</t>
  </si>
  <si>
    <t>DOE 11</t>
  </si>
  <si>
    <t>DOE 12</t>
  </si>
  <si>
    <t>DOE 13</t>
  </si>
  <si>
    <t>DOE 14</t>
  </si>
  <si>
    <t>DOE 15</t>
  </si>
  <si>
    <t>DOE 16</t>
  </si>
  <si>
    <t>DOE 13.5</t>
  </si>
  <si>
    <t>DOE 13.7</t>
  </si>
  <si>
    <t>DOE 14.5</t>
  </si>
  <si>
    <t>DOE 14.7</t>
  </si>
  <si>
    <t>DOE 15.5</t>
  </si>
  <si>
    <t>DOE 15.7</t>
  </si>
  <si>
    <t>DOE 16.5</t>
  </si>
  <si>
    <t>DOE 16.7</t>
  </si>
  <si>
    <t>DOE 17.3</t>
  </si>
  <si>
    <t>DOE 17.5</t>
  </si>
  <si>
    <t>DOE 17.7</t>
  </si>
  <si>
    <t>DOE 18.3</t>
  </si>
  <si>
    <t>DOE 18.5</t>
  </si>
  <si>
    <t>DOE 18.7</t>
  </si>
  <si>
    <t>DOE 19.3</t>
  </si>
  <si>
    <t>DOE 19.5</t>
  </si>
  <si>
    <t>DOE 19.7</t>
  </si>
  <si>
    <t>DOE 20.3</t>
  </si>
  <si>
    <t>DOE 20.5</t>
  </si>
  <si>
    <t>DOE 20.7</t>
  </si>
  <si>
    <t>DOE 21.3</t>
  </si>
  <si>
    <t>DOE 22.3</t>
  </si>
  <si>
    <t>DOE 23.3</t>
  </si>
  <si>
    <t>DOE 17</t>
  </si>
  <si>
    <t>DOE 18</t>
  </si>
  <si>
    <t>DOE 19</t>
  </si>
  <si>
    <t>DOE 20</t>
  </si>
  <si>
    <t>DOE 21</t>
  </si>
  <si>
    <t>DOE 22</t>
  </si>
  <si>
    <t>DOE 23</t>
  </si>
  <si>
    <t>DOE 21.5</t>
  </si>
  <si>
    <t>DOE 21.7</t>
  </si>
  <si>
    <t>DOE 22.5</t>
  </si>
  <si>
    <t>DOE 22.7</t>
  </si>
  <si>
    <t>DOE 23.5</t>
  </si>
  <si>
    <t>DOE 23.7</t>
  </si>
  <si>
    <t>K_mean</t>
  </si>
  <si>
    <t>n_mean</t>
  </si>
  <si>
    <t>K_std</t>
  </si>
  <si>
    <t>n_std</t>
  </si>
  <si>
    <t>OG</t>
  </si>
  <si>
    <t>neues OG</t>
  </si>
  <si>
    <t>absolute Salzreduktion</t>
  </si>
  <si>
    <t>übersättigt</t>
  </si>
  <si>
    <t>alte Spurenelemente</t>
  </si>
  <si>
    <t>CaCl2 reduziert (un etwas Ammoniumsulfat)</t>
  </si>
  <si>
    <t>CaCl 40%</t>
  </si>
  <si>
    <t>mit Urea</t>
  </si>
  <si>
    <t>ohne Urea</t>
  </si>
  <si>
    <t>kein Urea</t>
  </si>
  <si>
    <t>80% PO4</t>
  </si>
  <si>
    <t>60% PO4</t>
  </si>
  <si>
    <t>BTM</t>
  </si>
  <si>
    <t>Schikanen</t>
  </si>
  <si>
    <t>Ohne Schikanen</t>
  </si>
  <si>
    <t>(Vorkultur und Komplexmedium)</t>
  </si>
  <si>
    <t>Ohne Vorkultur</t>
  </si>
  <si>
    <t>Glutamat High</t>
  </si>
  <si>
    <t>Glutamat Low</t>
  </si>
  <si>
    <t>Saccharose</t>
  </si>
  <si>
    <t xml:space="preserve"> </t>
  </si>
  <si>
    <t>Stopfen</t>
  </si>
  <si>
    <t>Blue</t>
  </si>
  <si>
    <t>DOE 24.3</t>
  </si>
  <si>
    <t>DOE 24.5</t>
  </si>
  <si>
    <t>DOE 24.7</t>
  </si>
  <si>
    <t>DOE 25.3</t>
  </si>
  <si>
    <t>DOE 25.5</t>
  </si>
  <si>
    <t>DOE 25.7</t>
  </si>
  <si>
    <t>DOE 26.3</t>
  </si>
  <si>
    <t>DOE 26.5</t>
  </si>
  <si>
    <t>DOE 26.7</t>
  </si>
  <si>
    <t>DOE 27.3</t>
  </si>
  <si>
    <t>DOE 27.5</t>
  </si>
  <si>
    <t>DOE 27.7</t>
  </si>
  <si>
    <t>DOE 24</t>
  </si>
  <si>
    <t>DOE 25</t>
  </si>
  <si>
    <t>DOE 26</t>
  </si>
  <si>
    <t>DOE 27</t>
  </si>
  <si>
    <t>Doe 24</t>
  </si>
  <si>
    <t>OVK3</t>
  </si>
  <si>
    <t>SVK1, SVK3</t>
  </si>
  <si>
    <t>OHK3</t>
  </si>
  <si>
    <t>K5G1,K6G2</t>
  </si>
  <si>
    <t>K5MMA</t>
  </si>
  <si>
    <t>K8O1,2</t>
  </si>
  <si>
    <t>K975%1,2</t>
  </si>
  <si>
    <t>K925%1,2</t>
  </si>
  <si>
    <t>K6M1,2,K8A1,2,K10U1,2</t>
  </si>
  <si>
    <t>K9100%1,2,K10100%1,2</t>
  </si>
  <si>
    <t>K950%1,2,K1050%1,2</t>
  </si>
  <si>
    <t>K11Ü1,2</t>
  </si>
  <si>
    <t>K11A1,2</t>
  </si>
  <si>
    <t>K1160%1,2</t>
  </si>
  <si>
    <t>K1125%1,2</t>
  </si>
  <si>
    <t>K110%1,2</t>
  </si>
  <si>
    <t>K7OG1,2,K8OG1,2,K10OG1,2K13OG1,K13OG1,K13OG2,K13OG2</t>
  </si>
  <si>
    <t>K1350%1,K1350%1,K1350%2,K1350%2</t>
  </si>
  <si>
    <t>K1140%1,2,K1340%1,K1340%1,K1340%2,K1340%2</t>
  </si>
  <si>
    <t>K1330%1,K1330%1,K1330%2,K1330%2</t>
  </si>
  <si>
    <t>K1320%1,K1320%1,K1320%2</t>
  </si>
  <si>
    <t>K14P801,2</t>
  </si>
  <si>
    <t>K14P601,2</t>
  </si>
  <si>
    <t>K14U1,2</t>
  </si>
  <si>
    <t>#3.67999999999999</t>
  </si>
  <si>
    <t>Picture 1</t>
  </si>
  <si>
    <t>Glutamat</t>
  </si>
  <si>
    <t>Classic</t>
  </si>
  <si>
    <t>Picture 2</t>
  </si>
  <si>
    <t>Calcium Chloride concentration</t>
  </si>
  <si>
    <t>#2.42</t>
  </si>
  <si>
    <t>#2.74</t>
  </si>
  <si>
    <t>Blue_avg  [mol/L]</t>
  </si>
  <si>
    <t>Red_avg [mol/L]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</si>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</sst>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3" fillId="0" borderId="2" xfId="0" applyFont="1" applyBorder="1"/>
    <xf numFmtId="9" fontId="3" fillId="0" borderId="2" xfId="0" applyNumberFormat="1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9" fontId="3" fillId="0" borderId="6" xfId="0" applyNumberFormat="1" applyFont="1" applyBorder="1"/>
    <xf numFmtId="9" fontId="3" fillId="0" borderId="7" xfId="0" applyNumberFormat="1" applyFont="1" applyBorder="1"/>
    <xf numFmtId="0" fontId="0" fillId="0" borderId="9" xfId="0" applyBorder="1"/>
    <xf numFmtId="0" fontId="4" fillId="4" borderId="0" xfId="0" applyFont="1" applyFill="1"/>
    <xf numFmtId="0" fontId="0" fillId="4" borderId="0" xfId="0" applyFill="1"/>
    <xf numFmtId="0" fontId="4" fillId="3" borderId="0" xfId="0" applyFont="1" applyFill="1"/>
    <xf numFmtId="0" fontId="0" fillId="5" borderId="0" xfId="0" applyFill="1"/>
    <xf numFmtId="0" fontId="3" fillId="0" borderId="10" xfId="0" applyFont="1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3"/>
  <sheetViews>
    <sheetView tabSelected="1" topLeftCell="A76" zoomScale="76" zoomScaleNormal="115" workbookViewId="0">
      <selection activeCell="AA131" sqref="AA131"/>
    </sheetView>
  </sheetViews>
  <sheetFormatPr defaultRowHeight="14.25" x14ac:dyDescent="0.45"/>
  <cols>
    <col min="2" max="2" width="9.19921875" bestFit="1" customWidth="1"/>
    <col min="3" max="3" width="9.265625" bestFit="1" customWidth="1"/>
    <col min="4" max="4" width="14.73046875" bestFit="1" customWidth="1"/>
    <col min="5" max="5" width="13.796875" bestFit="1" customWidth="1"/>
    <col min="6" max="6" width="14.73046875" bestFit="1" customWidth="1"/>
    <col min="7" max="9" width="13.796875" bestFit="1" customWidth="1"/>
    <col min="10" max="11" width="9.33203125" bestFit="1" customWidth="1"/>
    <col min="12" max="13" width="9.19921875" bestFit="1" customWidth="1"/>
    <col min="14" max="14" width="9.33203125" bestFit="1" customWidth="1"/>
    <col min="16" max="16" width="9.33203125" bestFit="1" customWidth="1"/>
    <col min="17" max="17" width="10" bestFit="1" customWidth="1"/>
    <col min="18" max="20" width="9.33203125" bestFit="1" customWidth="1"/>
    <col min="21" max="22" width="9.19921875" bestFit="1" customWidth="1"/>
    <col min="23" max="23" width="11.9296875" bestFit="1" customWidth="1"/>
    <col min="24" max="24" width="9.1328125" bestFit="1" customWidth="1"/>
  </cols>
  <sheetData>
    <row r="1" spans="1:25" x14ac:dyDescent="0.45">
      <c r="A1" s="1" t="s">
        <v>0</v>
      </c>
      <c r="B1" s="1" t="s">
        <v>1</v>
      </c>
      <c r="C1" s="1" t="s">
        <v>2</v>
      </c>
      <c r="D1" s="1" t="s">
        <v>214</v>
      </c>
      <c r="E1" s="1" t="s">
        <v>3</v>
      </c>
      <c r="F1" s="1" t="s">
        <v>215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t="s">
        <v>138</v>
      </c>
      <c r="V1" t="s">
        <v>139</v>
      </c>
      <c r="W1" t="s">
        <v>140</v>
      </c>
      <c r="X1" t="s">
        <v>141</v>
      </c>
      <c r="Y1" t="s">
        <v>216</v>
      </c>
    </row>
    <row r="2" spans="1:25" x14ac:dyDescent="0.45">
      <c r="A2" t="s">
        <v>18</v>
      </c>
      <c r="B2">
        <v>27660.25</v>
      </c>
      <c r="C2">
        <v>12789.59109002317</v>
      </c>
      <c r="D2">
        <v>1.4905636425186191E-4</v>
      </c>
      <c r="E2">
        <v>4.7758076794733949E-5</v>
      </c>
      <c r="F2">
        <v>2.3687366737739859E-7</v>
      </c>
      <c r="G2">
        <v>1.436824270578874E-8</v>
      </c>
      <c r="H2">
        <v>3.8000000000000029</v>
      </c>
      <c r="I2">
        <v>0.42426406871192918</v>
      </c>
      <c r="J2">
        <v>6.18</v>
      </c>
      <c r="K2">
        <v>0</v>
      </c>
      <c r="N2">
        <v>159</v>
      </c>
      <c r="O2" t="s">
        <v>19</v>
      </c>
      <c r="P2">
        <v>0.36</v>
      </c>
      <c r="Q2">
        <v>6250</v>
      </c>
      <c r="R2">
        <v>250</v>
      </c>
      <c r="S2">
        <v>6.7</v>
      </c>
      <c r="T2">
        <v>25</v>
      </c>
    </row>
    <row r="3" spans="1:25" x14ac:dyDescent="0.45">
      <c r="A3" t="s">
        <v>20</v>
      </c>
      <c r="B3">
        <v>46501</v>
      </c>
      <c r="C3">
        <v>2341.6895609794219</v>
      </c>
      <c r="D3">
        <v>1.0998152222974501E-3</v>
      </c>
      <c r="E3">
        <v>9.3013337781044936E-4</v>
      </c>
      <c r="F3">
        <v>6.0967484008528781E-7</v>
      </c>
      <c r="G3">
        <v>2.8183314004303911E-7</v>
      </c>
      <c r="H3">
        <v>4.360000000000003</v>
      </c>
      <c r="I3">
        <v>8.4852813742384528E-2</v>
      </c>
      <c r="J3">
        <v>5.9349999999999996</v>
      </c>
      <c r="K3">
        <v>7.7781745930520452E-2</v>
      </c>
      <c r="N3">
        <v>159</v>
      </c>
      <c r="O3" t="s">
        <v>19</v>
      </c>
      <c r="P3">
        <v>0.36</v>
      </c>
      <c r="Q3">
        <v>62500</v>
      </c>
      <c r="R3">
        <v>250</v>
      </c>
      <c r="S3">
        <v>6.7</v>
      </c>
      <c r="T3">
        <v>25</v>
      </c>
    </row>
    <row r="4" spans="1:25" x14ac:dyDescent="0.45">
      <c r="A4" t="s">
        <v>21</v>
      </c>
      <c r="B4">
        <v>47672.5</v>
      </c>
      <c r="C4">
        <v>2233.3634575082792</v>
      </c>
      <c r="D4">
        <v>1.169494752877454E-3</v>
      </c>
      <c r="E4">
        <v>1.7275594627960111E-4</v>
      </c>
      <c r="F4">
        <v>1.1883662046908309E-6</v>
      </c>
      <c r="G4">
        <v>7.3816346474860595E-8</v>
      </c>
      <c r="H4">
        <v>6.129999999999999</v>
      </c>
      <c r="I4">
        <v>1.060660171779815</v>
      </c>
      <c r="J4">
        <v>5.93</v>
      </c>
      <c r="K4">
        <v>1.414213562373128E-2</v>
      </c>
      <c r="N4">
        <v>159</v>
      </c>
      <c r="O4" t="s">
        <v>19</v>
      </c>
      <c r="P4">
        <v>0.36</v>
      </c>
      <c r="Q4">
        <v>625000</v>
      </c>
      <c r="R4">
        <v>250</v>
      </c>
      <c r="S4">
        <v>6.7</v>
      </c>
      <c r="T4">
        <v>25</v>
      </c>
    </row>
    <row r="5" spans="1:25" x14ac:dyDescent="0.45">
      <c r="A5" t="s">
        <v>22</v>
      </c>
      <c r="B5">
        <v>54642</v>
      </c>
      <c r="C5">
        <v>2317.1222094083282</v>
      </c>
      <c r="D5">
        <v>1.8759520988490179E-3</v>
      </c>
      <c r="E5">
        <v>2.1805103868871009E-4</v>
      </c>
      <c r="F5">
        <v>1.421242004264392E-6</v>
      </c>
      <c r="G5">
        <v>2.721292358297199E-8</v>
      </c>
      <c r="H5">
        <v>7.8299999999999983</v>
      </c>
      <c r="I5">
        <v>2.1354624791833721</v>
      </c>
      <c r="J5">
        <v>5.8550000000000004</v>
      </c>
      <c r="K5">
        <v>3.5355339059327251E-2</v>
      </c>
      <c r="N5">
        <v>159</v>
      </c>
      <c r="O5" t="s">
        <v>19</v>
      </c>
      <c r="P5">
        <v>0.36</v>
      </c>
      <c r="Q5">
        <v>6250000</v>
      </c>
      <c r="R5">
        <v>250</v>
      </c>
      <c r="S5">
        <v>6.7</v>
      </c>
      <c r="T5">
        <v>25</v>
      </c>
    </row>
    <row r="6" spans="1:25" x14ac:dyDescent="0.45">
      <c r="A6" t="s">
        <v>23</v>
      </c>
      <c r="B6">
        <v>130670.5</v>
      </c>
      <c r="C6">
        <v>4270.2260283658679</v>
      </c>
      <c r="D6">
        <v>3.6148019634394042E-4</v>
      </c>
      <c r="E6">
        <v>9.8696095009425652E-5</v>
      </c>
      <c r="F6">
        <v>3.5381130063965881E-7</v>
      </c>
      <c r="G6">
        <v>1.006108000435872E-8</v>
      </c>
      <c r="H6">
        <v>6.4</v>
      </c>
      <c r="I6">
        <v>0.53740115370177977</v>
      </c>
      <c r="J6">
        <v>5.7549999999999999</v>
      </c>
      <c r="K6">
        <v>0.16263455967290619</v>
      </c>
      <c r="N6">
        <v>159</v>
      </c>
      <c r="O6" t="s">
        <v>19</v>
      </c>
      <c r="P6">
        <v>0.36</v>
      </c>
      <c r="Q6">
        <v>62500000</v>
      </c>
      <c r="R6">
        <v>250</v>
      </c>
      <c r="S6">
        <v>6.7</v>
      </c>
      <c r="T6">
        <v>25</v>
      </c>
    </row>
    <row r="7" spans="1:25" x14ac:dyDescent="0.45">
      <c r="A7" t="s">
        <v>24</v>
      </c>
      <c r="B7">
        <v>28075.75</v>
      </c>
      <c r="C7">
        <v>4001.2903231332771</v>
      </c>
      <c r="D7">
        <v>7.1396834800270819E-4</v>
      </c>
      <c r="E7">
        <v>1.137711806783658E-4</v>
      </c>
      <c r="F7">
        <v>3.5581023454157779E-7</v>
      </c>
      <c r="G7">
        <v>1.34588285425933E-8</v>
      </c>
      <c r="H7">
        <v>6.0099999999999989</v>
      </c>
      <c r="I7">
        <v>9.8994949366113291E-2</v>
      </c>
      <c r="J7">
        <v>4.57</v>
      </c>
      <c r="K7">
        <v>1.414213562373128E-2</v>
      </c>
      <c r="L7">
        <v>268.81</v>
      </c>
      <c r="M7">
        <v>83.46</v>
      </c>
      <c r="N7">
        <v>159</v>
      </c>
      <c r="O7" t="s">
        <v>7</v>
      </c>
      <c r="P7">
        <v>0.36</v>
      </c>
      <c r="Q7">
        <v>6250000</v>
      </c>
      <c r="R7">
        <v>250</v>
      </c>
      <c r="S7">
        <v>6</v>
      </c>
      <c r="T7">
        <v>25</v>
      </c>
    </row>
    <row r="8" spans="1:25" x14ac:dyDescent="0.45">
      <c r="A8" t="s">
        <v>25</v>
      </c>
      <c r="B8">
        <v>30475.5</v>
      </c>
      <c r="C8">
        <v>2128.1549912228361</v>
      </c>
      <c r="D8">
        <v>2.390825998645904E-4</v>
      </c>
      <c r="E8">
        <v>2.6470406570629579E-5</v>
      </c>
      <c r="F8">
        <v>6.4665511727078872E-7</v>
      </c>
      <c r="G8">
        <v>1.068448402043664E-7</v>
      </c>
      <c r="H8">
        <v>7.8000000000000007</v>
      </c>
      <c r="I8">
        <v>0.73539105243400571</v>
      </c>
      <c r="J8">
        <v>6.18</v>
      </c>
      <c r="K8">
        <v>1.414213562373128E-2</v>
      </c>
      <c r="L8">
        <v>247.27</v>
      </c>
      <c r="M8">
        <v>166.51</v>
      </c>
      <c r="N8">
        <v>159</v>
      </c>
      <c r="O8" t="s">
        <v>7</v>
      </c>
      <c r="P8">
        <v>0.36</v>
      </c>
      <c r="Q8">
        <v>6250000</v>
      </c>
      <c r="R8">
        <v>250</v>
      </c>
      <c r="S8">
        <v>7</v>
      </c>
      <c r="T8">
        <v>25</v>
      </c>
    </row>
    <row r="9" spans="1:25" x14ac:dyDescent="0.45">
      <c r="A9" t="s">
        <v>26</v>
      </c>
      <c r="B9">
        <v>29321.5</v>
      </c>
      <c r="C9">
        <v>6905.8650194357742</v>
      </c>
      <c r="D9">
        <v>2.1228278041074251E-4</v>
      </c>
      <c r="E9">
        <v>8.8140109660605473E-5</v>
      </c>
      <c r="F9">
        <v>8.4355010660980816E-7</v>
      </c>
      <c r="G9">
        <v>2.4806117362721602E-7</v>
      </c>
      <c r="H9">
        <v>6.1999999999999984</v>
      </c>
      <c r="I9">
        <v>1.8101933598375599</v>
      </c>
      <c r="J9">
        <v>6.2050000000000001</v>
      </c>
      <c r="K9">
        <v>3.5355339059327882E-2</v>
      </c>
      <c r="L9">
        <v>296.52999999999997</v>
      </c>
      <c r="M9">
        <v>168.42</v>
      </c>
      <c r="N9">
        <v>159</v>
      </c>
      <c r="O9" t="s">
        <v>7</v>
      </c>
      <c r="P9">
        <v>0.36</v>
      </c>
      <c r="Q9">
        <v>6250000</v>
      </c>
      <c r="R9">
        <v>250</v>
      </c>
      <c r="S9">
        <v>7.5</v>
      </c>
      <c r="T9">
        <v>25</v>
      </c>
    </row>
    <row r="10" spans="1:25" x14ac:dyDescent="0.45">
      <c r="A10" t="s">
        <v>27</v>
      </c>
      <c r="B10">
        <v>29042</v>
      </c>
      <c r="C10">
        <v>1537.250142299554</v>
      </c>
      <c r="D10">
        <v>1.0755895960279851E-3</v>
      </c>
      <c r="E10">
        <v>1.4343740057280729E-4</v>
      </c>
      <c r="F10">
        <v>2.4876732409381659E-6</v>
      </c>
      <c r="G10">
        <v>7.3200930375812711E-7</v>
      </c>
      <c r="H10">
        <v>4.6299999999999972</v>
      </c>
      <c r="I10">
        <v>0.77781745930520485</v>
      </c>
      <c r="J10">
        <v>6.43</v>
      </c>
      <c r="K10">
        <v>0</v>
      </c>
      <c r="L10">
        <v>347.56</v>
      </c>
      <c r="M10">
        <v>66.81</v>
      </c>
      <c r="N10">
        <v>159</v>
      </c>
      <c r="O10" t="s">
        <v>7</v>
      </c>
      <c r="P10">
        <v>0.36</v>
      </c>
      <c r="Q10">
        <v>6250000</v>
      </c>
      <c r="R10">
        <v>250</v>
      </c>
      <c r="S10">
        <v>8</v>
      </c>
      <c r="T10">
        <v>25</v>
      </c>
    </row>
    <row r="11" spans="1:25" x14ac:dyDescent="0.45">
      <c r="A11">
        <v>0.35799999999999998</v>
      </c>
      <c r="B11">
        <v>97983</v>
      </c>
      <c r="C11">
        <v>21561.716103625269</v>
      </c>
      <c r="D11">
        <v>2.3503089031821252E-3</v>
      </c>
      <c r="E11">
        <v>4.811376901224134E-4</v>
      </c>
      <c r="F11">
        <v>8.4554904051172692E-7</v>
      </c>
      <c r="G11">
        <v>9.9059764029029217E-7</v>
      </c>
      <c r="H11">
        <v>10.85</v>
      </c>
      <c r="I11">
        <v>0.69296464556281812</v>
      </c>
      <c r="J11">
        <v>6.01</v>
      </c>
      <c r="K11">
        <v>0.12727922061357841</v>
      </c>
      <c r="L11">
        <v>245.75</v>
      </c>
      <c r="M11">
        <v>183.01</v>
      </c>
      <c r="N11">
        <v>159</v>
      </c>
      <c r="O11" t="s">
        <v>13</v>
      </c>
      <c r="P11">
        <v>0.35799999999999998</v>
      </c>
      <c r="Q11">
        <v>6250000</v>
      </c>
      <c r="R11">
        <v>250</v>
      </c>
      <c r="S11">
        <v>6.7</v>
      </c>
      <c r="T11">
        <v>25</v>
      </c>
    </row>
    <row r="12" spans="1:25" x14ac:dyDescent="0.45">
      <c r="A12">
        <v>0.75</v>
      </c>
      <c r="B12">
        <v>40878.75</v>
      </c>
      <c r="C12">
        <v>3360.7029398624331</v>
      </c>
      <c r="D12">
        <v>5.5729519295869999E-4</v>
      </c>
      <c r="E12">
        <v>4.485749363737423E-4</v>
      </c>
      <c r="F12">
        <v>1.0434434968017059E-6</v>
      </c>
      <c r="G12">
        <v>1.587443848886635E-7</v>
      </c>
      <c r="H12">
        <v>8.42</v>
      </c>
      <c r="I12">
        <v>0.45431266766402539</v>
      </c>
      <c r="J12">
        <v>5.835</v>
      </c>
      <c r="K12">
        <v>0.10606601717798241</v>
      </c>
      <c r="L12">
        <v>306.07</v>
      </c>
      <c r="M12">
        <v>163.02000000000001</v>
      </c>
      <c r="N12">
        <v>159</v>
      </c>
      <c r="O12" t="s">
        <v>13</v>
      </c>
      <c r="P12">
        <v>0.75</v>
      </c>
      <c r="Q12">
        <v>6250000</v>
      </c>
      <c r="R12">
        <v>250</v>
      </c>
      <c r="S12">
        <v>6.7</v>
      </c>
      <c r="T12">
        <v>25</v>
      </c>
    </row>
    <row r="13" spans="1:25" x14ac:dyDescent="0.45">
      <c r="A13">
        <v>1.25</v>
      </c>
      <c r="B13">
        <v>50927</v>
      </c>
      <c r="C13">
        <v>17323.582731833121</v>
      </c>
      <c r="D13">
        <v>4.0305517941773862E-5</v>
      </c>
      <c r="E13">
        <v>2.81706669761799E-5</v>
      </c>
      <c r="F13">
        <v>3.9378997867803818E-7</v>
      </c>
      <c r="G13">
        <v>1.3904689206571371E-7</v>
      </c>
      <c r="H13">
        <v>10.47</v>
      </c>
      <c r="I13">
        <v>0.46669047558312021</v>
      </c>
      <c r="J13">
        <v>6.02</v>
      </c>
      <c r="K13">
        <v>0.18384776310850279</v>
      </c>
      <c r="L13">
        <v>678.36</v>
      </c>
      <c r="M13">
        <v>156.54</v>
      </c>
      <c r="N13">
        <v>159</v>
      </c>
      <c r="O13" t="s">
        <v>13</v>
      </c>
      <c r="P13">
        <v>1.25</v>
      </c>
      <c r="Q13">
        <v>6250000</v>
      </c>
      <c r="R13">
        <v>250</v>
      </c>
      <c r="S13">
        <v>6.7</v>
      </c>
      <c r="T13">
        <v>25</v>
      </c>
    </row>
    <row r="14" spans="1:25" x14ac:dyDescent="0.45">
      <c r="A14">
        <v>1.75</v>
      </c>
      <c r="B14">
        <v>13675</v>
      </c>
      <c r="C14">
        <v>752.7403270716934</v>
      </c>
      <c r="D14">
        <v>-6.5024825095915141E-5</v>
      </c>
      <c r="E14">
        <v>1.0291638206666801E-4</v>
      </c>
      <c r="F14">
        <v>9.2950426439232434E-8</v>
      </c>
      <c r="G14">
        <v>1.10092694841806E-8</v>
      </c>
      <c r="H14">
        <v>8.32</v>
      </c>
      <c r="I14">
        <v>0.1979898987322278</v>
      </c>
      <c r="J14">
        <v>6.2200000000000006</v>
      </c>
      <c r="K14">
        <v>8.4852813742385777E-2</v>
      </c>
      <c r="L14">
        <v>303.02</v>
      </c>
      <c r="M14">
        <v>232.84</v>
      </c>
      <c r="N14">
        <v>159</v>
      </c>
      <c r="O14" t="s">
        <v>13</v>
      </c>
      <c r="P14">
        <v>1.75</v>
      </c>
      <c r="Q14">
        <v>6250000</v>
      </c>
      <c r="R14">
        <v>250</v>
      </c>
      <c r="S14">
        <v>6.7</v>
      </c>
      <c r="T14">
        <v>25</v>
      </c>
    </row>
    <row r="15" spans="1:25" x14ac:dyDescent="0.45">
      <c r="A15">
        <v>2.25</v>
      </c>
      <c r="B15">
        <v>23967.75</v>
      </c>
      <c r="C15">
        <v>1817.559604708101</v>
      </c>
      <c r="D15">
        <v>-1.5554474159331979E-4</v>
      </c>
      <c r="E15">
        <v>9.9614681294103664E-6</v>
      </c>
      <c r="F15">
        <v>4.0978144989339013E-8</v>
      </c>
      <c r="G15">
        <v>2.7961267668386609E-8</v>
      </c>
      <c r="H15">
        <v>10.87</v>
      </c>
      <c r="I15">
        <v>2.6728636328851518</v>
      </c>
      <c r="J15">
        <v>5.73</v>
      </c>
      <c r="K15">
        <v>0.43840620433565952</v>
      </c>
      <c r="L15">
        <v>146.69</v>
      </c>
      <c r="M15">
        <v>71.33</v>
      </c>
      <c r="N15">
        <v>159</v>
      </c>
      <c r="O15" t="s">
        <v>13</v>
      </c>
      <c r="P15">
        <v>2.25</v>
      </c>
      <c r="Q15">
        <v>6250000</v>
      </c>
      <c r="R15">
        <v>250</v>
      </c>
      <c r="S15">
        <v>6.7</v>
      </c>
      <c r="T15">
        <v>25</v>
      </c>
    </row>
    <row r="16" spans="1:25" x14ac:dyDescent="0.45">
      <c r="A16">
        <v>30</v>
      </c>
      <c r="B16">
        <v>57305</v>
      </c>
      <c r="C16">
        <v>3999.283852558272</v>
      </c>
      <c r="D16">
        <v>1.889210956894606E-3</v>
      </c>
      <c r="E16">
        <v>1.170099647302734E-4</v>
      </c>
      <c r="F16">
        <v>1.2643256929637519E-6</v>
      </c>
      <c r="G16">
        <v>1.9775980213476949E-7</v>
      </c>
      <c r="H16">
        <v>10.029999999999999</v>
      </c>
      <c r="I16">
        <v>0.24041630560342231</v>
      </c>
      <c r="J16">
        <v>5.8250000000000002</v>
      </c>
      <c r="K16">
        <v>6.3639610306789177E-2</v>
      </c>
      <c r="L16">
        <v>261.5</v>
      </c>
      <c r="M16">
        <v>211.8</v>
      </c>
      <c r="N16">
        <v>159</v>
      </c>
      <c r="O16" t="s">
        <v>28</v>
      </c>
      <c r="P16">
        <v>0.36</v>
      </c>
      <c r="Q16">
        <v>6250000</v>
      </c>
      <c r="R16">
        <v>250</v>
      </c>
      <c r="S16">
        <v>6.7</v>
      </c>
      <c r="T16">
        <v>30</v>
      </c>
    </row>
    <row r="17" spans="1:20" x14ac:dyDescent="0.45">
      <c r="A17">
        <v>40</v>
      </c>
      <c r="B17">
        <v>53728</v>
      </c>
      <c r="C17">
        <v>4904.4513794443237</v>
      </c>
      <c r="D17">
        <v>1.8610711464680659E-3</v>
      </c>
      <c r="E17">
        <v>4.6586479009272478E-4</v>
      </c>
      <c r="F17">
        <v>1.003464818763326E-6</v>
      </c>
      <c r="G17">
        <v>1.17014433166193E-6</v>
      </c>
      <c r="H17">
        <v>9.9000000000000021</v>
      </c>
      <c r="I17">
        <v>3.196122650963201</v>
      </c>
      <c r="J17">
        <v>5.8800000000000008</v>
      </c>
      <c r="K17">
        <v>2.8284271247461929E-2</v>
      </c>
      <c r="L17">
        <v>199.37</v>
      </c>
      <c r="M17">
        <v>152.72</v>
      </c>
      <c r="N17">
        <v>159</v>
      </c>
      <c r="O17" t="s">
        <v>28</v>
      </c>
      <c r="P17">
        <v>0.36</v>
      </c>
      <c r="Q17">
        <v>6250000</v>
      </c>
      <c r="R17">
        <v>250</v>
      </c>
      <c r="S17">
        <v>6.7</v>
      </c>
      <c r="T17">
        <v>40</v>
      </c>
    </row>
    <row r="18" spans="1:20" x14ac:dyDescent="0.45">
      <c r="A18">
        <v>50</v>
      </c>
      <c r="B18">
        <v>60073.75</v>
      </c>
      <c r="C18">
        <v>6753.24906372234</v>
      </c>
      <c r="D18">
        <v>2.316456499661476E-3</v>
      </c>
      <c r="E18">
        <v>4.1432337177683558E-4</v>
      </c>
      <c r="F18">
        <v>1.6990938166311299E-6</v>
      </c>
      <c r="G18">
        <v>4.8757599749717368E-7</v>
      </c>
      <c r="H18">
        <v>8.879999999999999</v>
      </c>
      <c r="I18">
        <v>0.73539105243400626</v>
      </c>
      <c r="J18">
        <v>5.83</v>
      </c>
      <c r="K18">
        <v>4.2426406871193201E-2</v>
      </c>
      <c r="L18">
        <v>302.14999999999998</v>
      </c>
      <c r="M18">
        <v>155.06</v>
      </c>
      <c r="N18">
        <v>159</v>
      </c>
      <c r="O18" t="s">
        <v>28</v>
      </c>
      <c r="P18">
        <v>0.36</v>
      </c>
      <c r="Q18">
        <v>6250000</v>
      </c>
      <c r="R18">
        <v>250</v>
      </c>
      <c r="S18">
        <v>6.7</v>
      </c>
      <c r="T18">
        <v>50</v>
      </c>
    </row>
    <row r="19" spans="1:20" x14ac:dyDescent="0.45">
      <c r="A19">
        <v>150</v>
      </c>
      <c r="B19">
        <v>55579.5</v>
      </c>
      <c r="C19">
        <v>5913.0930710303101</v>
      </c>
      <c r="D19">
        <v>1.054819735951252E-3</v>
      </c>
      <c r="E19">
        <v>6.9456351841500443E-4</v>
      </c>
      <c r="F19">
        <v>9.5049307036247325E-7</v>
      </c>
      <c r="G19">
        <v>2.8281206199430841E-7</v>
      </c>
      <c r="H19">
        <v>6.7900000000000018</v>
      </c>
      <c r="I19">
        <v>1.4142135623729389E-2</v>
      </c>
      <c r="J19">
        <v>6.0500000000000007</v>
      </c>
      <c r="K19">
        <v>0.15556349186104029</v>
      </c>
      <c r="L19">
        <v>657.53</v>
      </c>
      <c r="M19">
        <v>388.64</v>
      </c>
      <c r="N19">
        <v>159</v>
      </c>
      <c r="O19" t="s">
        <v>15</v>
      </c>
      <c r="P19">
        <v>0.36</v>
      </c>
      <c r="Q19">
        <v>6250000</v>
      </c>
      <c r="R19">
        <v>150</v>
      </c>
      <c r="S19">
        <v>6.7</v>
      </c>
      <c r="T19">
        <v>25</v>
      </c>
    </row>
    <row r="20" spans="1:20" x14ac:dyDescent="0.45">
      <c r="A20">
        <v>300</v>
      </c>
      <c r="B20">
        <v>62595</v>
      </c>
      <c r="C20">
        <v>7801.2065000961784</v>
      </c>
      <c r="D20">
        <v>8.1259873617693516E-4</v>
      </c>
      <c r="E20">
        <v>5.4234414149925919E-4</v>
      </c>
      <c r="F20">
        <v>9.6873334221748393E-6</v>
      </c>
      <c r="G20">
        <v>2.7526136617215171E-6</v>
      </c>
      <c r="H20">
        <v>5.1599999999999984</v>
      </c>
      <c r="I20">
        <v>0.96166522241370345</v>
      </c>
      <c r="L20">
        <v>247.58</v>
      </c>
      <c r="M20">
        <v>149.75</v>
      </c>
      <c r="N20">
        <v>159</v>
      </c>
      <c r="O20" t="s">
        <v>15</v>
      </c>
      <c r="P20">
        <v>0.36</v>
      </c>
      <c r="Q20">
        <v>6250000</v>
      </c>
      <c r="R20">
        <v>300</v>
      </c>
      <c r="S20">
        <v>6.7</v>
      </c>
      <c r="T20">
        <v>25</v>
      </c>
    </row>
    <row r="21" spans="1:20" x14ac:dyDescent="0.45">
      <c r="A21" t="s">
        <v>29</v>
      </c>
      <c r="B21">
        <v>-467.5</v>
      </c>
      <c r="C21">
        <v>29.698484809834991</v>
      </c>
      <c r="D21">
        <v>-1.6503046716316861E-5</v>
      </c>
      <c r="E21">
        <v>1.9947720074096141E-7</v>
      </c>
      <c r="F21">
        <v>-7.9068941009239374E-7</v>
      </c>
      <c r="G21">
        <v>2.3871764112552152E-7</v>
      </c>
      <c r="H21">
        <v>0.50999999999999934</v>
      </c>
      <c r="I21">
        <v>0.29698484809834869</v>
      </c>
      <c r="J21">
        <v>6.5549999999999997</v>
      </c>
      <c r="K21">
        <v>7.0710678118653244E-3</v>
      </c>
      <c r="L21">
        <v>261.83</v>
      </c>
      <c r="M21">
        <v>93.51</v>
      </c>
      <c r="N21">
        <v>19</v>
      </c>
      <c r="O21" t="s">
        <v>30</v>
      </c>
      <c r="P21">
        <v>0.36</v>
      </c>
      <c r="Q21">
        <v>6250000</v>
      </c>
      <c r="R21">
        <v>250</v>
      </c>
      <c r="S21">
        <v>6.7</v>
      </c>
      <c r="T21">
        <v>25</v>
      </c>
    </row>
    <row r="22" spans="1:20" x14ac:dyDescent="0.45">
      <c r="A22" t="s">
        <v>29</v>
      </c>
      <c r="B22">
        <v>12023.5</v>
      </c>
      <c r="C22">
        <v>8891.1606666396492</v>
      </c>
      <c r="D22">
        <v>8.7452042428345738E-7</v>
      </c>
      <c r="E22">
        <v>5.0357557407539043E-6</v>
      </c>
      <c r="F22">
        <v>9.0301839019189762E-7</v>
      </c>
      <c r="G22">
        <v>7.3076345820998864E-7</v>
      </c>
      <c r="H22">
        <v>1.830000000000001</v>
      </c>
      <c r="I22">
        <v>1.414213562373332E-2</v>
      </c>
      <c r="J22">
        <v>6.46</v>
      </c>
      <c r="K22">
        <v>1.4142135623730651E-2</v>
      </c>
      <c r="L22">
        <v>439.17</v>
      </c>
      <c r="M22">
        <v>148.97999999999999</v>
      </c>
      <c r="N22">
        <v>42</v>
      </c>
      <c r="O22" t="s">
        <v>30</v>
      </c>
      <c r="P22">
        <v>0.36</v>
      </c>
      <c r="Q22">
        <v>6250000</v>
      </c>
      <c r="R22">
        <v>250</v>
      </c>
      <c r="S22">
        <v>6.7</v>
      </c>
      <c r="T22">
        <v>25</v>
      </c>
    </row>
    <row r="23" spans="1:20" x14ac:dyDescent="0.45">
      <c r="A23" t="s">
        <v>29</v>
      </c>
      <c r="B23">
        <v>19148.25</v>
      </c>
      <c r="C23">
        <v>6396.8414960041018</v>
      </c>
      <c r="D23">
        <v>1.0473087339201081E-6</v>
      </c>
      <c r="E23">
        <v>1.5716189492803079E-6</v>
      </c>
      <c r="F23">
        <v>7.4960021321961618E-8</v>
      </c>
      <c r="G23">
        <v>2.3698118056146909E-7</v>
      </c>
      <c r="H23">
        <v>3.2400000000000011</v>
      </c>
      <c r="I23">
        <v>0.42426406871192479</v>
      </c>
      <c r="J23">
        <v>6.45</v>
      </c>
      <c r="K23">
        <v>4.2426406871193201E-2</v>
      </c>
      <c r="L23">
        <v>444.83</v>
      </c>
      <c r="M23">
        <v>259.44</v>
      </c>
      <c r="N23">
        <v>68</v>
      </c>
      <c r="O23" t="s">
        <v>30</v>
      </c>
      <c r="P23">
        <v>0.36</v>
      </c>
      <c r="Q23">
        <v>6250000</v>
      </c>
      <c r="R23">
        <v>250</v>
      </c>
      <c r="S23">
        <v>6.7</v>
      </c>
      <c r="T23">
        <v>25</v>
      </c>
    </row>
    <row r="24" spans="1:20" x14ac:dyDescent="0.45">
      <c r="A24" t="s">
        <v>29</v>
      </c>
      <c r="B24">
        <v>47812</v>
      </c>
      <c r="C24">
        <v>5057.9348058273736</v>
      </c>
      <c r="D24">
        <v>1.018534190927556E-4</v>
      </c>
      <c r="E24">
        <v>2.6122589229125651E-5</v>
      </c>
      <c r="F24">
        <v>3.5850879530916841E-6</v>
      </c>
      <c r="G24">
        <v>6.4427823791509729E-7</v>
      </c>
      <c r="H24">
        <v>6.5500000000000016</v>
      </c>
      <c r="I24">
        <v>9.899494936611769E-2</v>
      </c>
      <c r="J24">
        <v>6.1950000000000003</v>
      </c>
      <c r="K24">
        <v>7.0710678118653244E-3</v>
      </c>
      <c r="L24">
        <v>508.25</v>
      </c>
      <c r="M24">
        <v>204.22</v>
      </c>
      <c r="N24">
        <v>90</v>
      </c>
      <c r="O24" t="s">
        <v>30</v>
      </c>
      <c r="P24">
        <v>0.36</v>
      </c>
      <c r="Q24">
        <v>6250000</v>
      </c>
      <c r="R24">
        <v>250</v>
      </c>
      <c r="S24">
        <v>6.7</v>
      </c>
      <c r="T24">
        <v>25</v>
      </c>
    </row>
    <row r="25" spans="1:20" x14ac:dyDescent="0.45">
      <c r="A25" t="s">
        <v>29</v>
      </c>
      <c r="B25">
        <v>61602.75</v>
      </c>
      <c r="C25">
        <v>8733.8294078256422</v>
      </c>
      <c r="D25">
        <v>2.9731931279620852E-4</v>
      </c>
      <c r="E25">
        <v>1.08025213513018E-4</v>
      </c>
      <c r="F25">
        <v>6.9872734541577824E-6</v>
      </c>
      <c r="G25">
        <v>3.2078982352519541E-6</v>
      </c>
      <c r="H25">
        <v>8.1999999999999993</v>
      </c>
      <c r="I25">
        <v>1.475488619633053</v>
      </c>
      <c r="J25">
        <v>6.0549999999999997</v>
      </c>
      <c r="K25">
        <v>9.1923881554251102E-2</v>
      </c>
      <c r="L25">
        <v>501.29</v>
      </c>
      <c r="M25">
        <v>181.1</v>
      </c>
      <c r="N25">
        <v>114</v>
      </c>
      <c r="O25" t="s">
        <v>30</v>
      </c>
      <c r="P25">
        <v>0.36</v>
      </c>
      <c r="Q25">
        <v>6250000</v>
      </c>
      <c r="R25">
        <v>250</v>
      </c>
      <c r="S25">
        <v>6.7</v>
      </c>
      <c r="T25">
        <v>25</v>
      </c>
    </row>
    <row r="26" spans="1:20" x14ac:dyDescent="0.45">
      <c r="A26" t="s">
        <v>29</v>
      </c>
      <c r="B26">
        <v>75176</v>
      </c>
      <c r="C26">
        <v>5806.7608871039283</v>
      </c>
      <c r="D26">
        <v>3.8189742721733239E-4</v>
      </c>
      <c r="E26">
        <v>9.8026402741215797E-5</v>
      </c>
      <c r="F26">
        <v>7.0252531982942416E-6</v>
      </c>
      <c r="G26">
        <v>5.98413952821229E-7</v>
      </c>
      <c r="H26">
        <v>6.2200000000000006</v>
      </c>
      <c r="I26">
        <v>1.6364188542872109</v>
      </c>
      <c r="J26">
        <v>6.0149999999999997</v>
      </c>
      <c r="K26">
        <v>2.12132034355966E-2</v>
      </c>
      <c r="L26">
        <v>658.49</v>
      </c>
      <c r="M26">
        <v>140.68</v>
      </c>
      <c r="N26">
        <v>138</v>
      </c>
      <c r="O26" t="s">
        <v>30</v>
      </c>
      <c r="P26">
        <v>0.36</v>
      </c>
      <c r="Q26">
        <v>6250000</v>
      </c>
      <c r="R26">
        <v>250</v>
      </c>
      <c r="S26">
        <v>6.7</v>
      </c>
      <c r="T26">
        <v>25</v>
      </c>
    </row>
    <row r="27" spans="1:20" x14ac:dyDescent="0.45">
      <c r="A27" t="s">
        <v>29</v>
      </c>
      <c r="B27">
        <v>76663.5</v>
      </c>
      <c r="C27">
        <v>7500.2582399985849</v>
      </c>
      <c r="D27">
        <v>6.9066837339201064E-4</v>
      </c>
      <c r="E27">
        <v>3.0626458250064109E-4</v>
      </c>
      <c r="F27">
        <v>3.128331556503198E-6</v>
      </c>
      <c r="G27">
        <v>5.283844412864642E-7</v>
      </c>
      <c r="J27">
        <v>5.9024999999999999</v>
      </c>
      <c r="K27">
        <v>4.8562674281111648E-2</v>
      </c>
      <c r="L27">
        <v>623.4</v>
      </c>
      <c r="M27">
        <v>145.22999999999999</v>
      </c>
      <c r="N27">
        <v>162</v>
      </c>
      <c r="O27" t="s">
        <v>30</v>
      </c>
      <c r="P27">
        <v>0.36</v>
      </c>
      <c r="Q27">
        <v>6250000</v>
      </c>
      <c r="R27">
        <v>250</v>
      </c>
      <c r="S27">
        <v>6.7</v>
      </c>
      <c r="T27">
        <v>25</v>
      </c>
    </row>
    <row r="28" spans="1:20" x14ac:dyDescent="0.45">
      <c r="A28" t="s">
        <v>31</v>
      </c>
      <c r="B28">
        <v>-113</v>
      </c>
      <c r="C28">
        <v>2.8284271247461898</v>
      </c>
      <c r="D28">
        <v>3.1031369893929092E-6</v>
      </c>
      <c r="E28">
        <v>3.251335593850241E-6</v>
      </c>
      <c r="F28">
        <v>-2.9984008528785498E-9</v>
      </c>
      <c r="G28">
        <v>1.5091620006537951E-8</v>
      </c>
      <c r="H28">
        <v>1.9999999999997801E-2</v>
      </c>
      <c r="I28">
        <v>0</v>
      </c>
      <c r="J28">
        <v>6.59</v>
      </c>
      <c r="K28">
        <v>0</v>
      </c>
      <c r="L28">
        <v>260.12</v>
      </c>
      <c r="M28">
        <v>191.94</v>
      </c>
      <c r="N28">
        <v>18</v>
      </c>
      <c r="O28" t="s">
        <v>32</v>
      </c>
      <c r="P28">
        <v>0.35799999999999998</v>
      </c>
      <c r="Q28">
        <v>6250000</v>
      </c>
      <c r="R28">
        <v>150</v>
      </c>
      <c r="S28">
        <v>6.7</v>
      </c>
      <c r="T28">
        <v>25</v>
      </c>
    </row>
    <row r="29" spans="1:20" x14ac:dyDescent="0.45">
      <c r="A29" t="s">
        <v>33</v>
      </c>
      <c r="B29">
        <v>-69</v>
      </c>
      <c r="C29">
        <v>8.4852813742385695</v>
      </c>
      <c r="D29">
        <v>-2.2215639810426542E-6</v>
      </c>
      <c r="E29">
        <v>4.64597060598179E-6</v>
      </c>
      <c r="F29">
        <v>2.308768656716417E-7</v>
      </c>
      <c r="G29">
        <v>2.712345350848922E-7</v>
      </c>
      <c r="H29">
        <v>0.1199999999999979</v>
      </c>
      <c r="I29">
        <v>0</v>
      </c>
      <c r="J29">
        <v>6.58</v>
      </c>
      <c r="K29">
        <v>0</v>
      </c>
      <c r="L29">
        <v>724.94</v>
      </c>
      <c r="M29">
        <v>173.65</v>
      </c>
      <c r="N29">
        <v>18</v>
      </c>
      <c r="O29" t="s">
        <v>34</v>
      </c>
      <c r="P29">
        <v>0.35799999999999998</v>
      </c>
      <c r="Q29">
        <v>625000</v>
      </c>
      <c r="R29">
        <v>200</v>
      </c>
      <c r="S29">
        <v>6.7</v>
      </c>
      <c r="T29">
        <v>25</v>
      </c>
    </row>
    <row r="30" spans="1:20" x14ac:dyDescent="0.45">
      <c r="A30" t="s">
        <v>31</v>
      </c>
      <c r="B30">
        <v>134</v>
      </c>
      <c r="C30">
        <v>65.711490623786645</v>
      </c>
      <c r="D30">
        <v>1.8724610697359509E-5</v>
      </c>
      <c r="E30">
        <v>5.3651315270820277E-6</v>
      </c>
      <c r="F30">
        <v>1.4992004264392369E-8</v>
      </c>
      <c r="G30">
        <v>3.5869586443749407E-8</v>
      </c>
      <c r="H30">
        <v>0.19000000000000131</v>
      </c>
      <c r="I30">
        <v>9.8994949366113652E-2</v>
      </c>
      <c r="J30">
        <v>6.5449999999999999</v>
      </c>
      <c r="K30">
        <v>3.5355339059327882E-2</v>
      </c>
      <c r="L30">
        <v>695.78</v>
      </c>
      <c r="M30">
        <v>176.95</v>
      </c>
      <c r="N30">
        <v>41</v>
      </c>
      <c r="O30" t="s">
        <v>32</v>
      </c>
      <c r="P30">
        <v>0.35799999999999998</v>
      </c>
      <c r="Q30">
        <v>6250000</v>
      </c>
      <c r="R30">
        <v>150</v>
      </c>
      <c r="S30">
        <v>6.7</v>
      </c>
      <c r="T30">
        <v>25</v>
      </c>
    </row>
    <row r="31" spans="1:20" x14ac:dyDescent="0.45">
      <c r="A31" t="s">
        <v>33</v>
      </c>
      <c r="B31">
        <v>2258.5</v>
      </c>
      <c r="C31">
        <v>93.546779741474793</v>
      </c>
      <c r="D31">
        <v>1.2518336718573681E-5</v>
      </c>
      <c r="E31">
        <v>9.6230952531684044E-6</v>
      </c>
      <c r="F31">
        <v>8.9202425373134327E-7</v>
      </c>
      <c r="G31">
        <v>2.7861141667395461E-7</v>
      </c>
      <c r="H31">
        <v>1.419999999999999</v>
      </c>
      <c r="I31">
        <v>0.16970562748476839</v>
      </c>
      <c r="J31">
        <v>6.55</v>
      </c>
      <c r="K31">
        <v>0</v>
      </c>
      <c r="L31">
        <v>509.09</v>
      </c>
      <c r="M31">
        <v>110.05</v>
      </c>
      <c r="N31">
        <v>41</v>
      </c>
      <c r="O31" t="s">
        <v>34</v>
      </c>
      <c r="P31">
        <v>0.35799999999999998</v>
      </c>
      <c r="Q31">
        <v>625000</v>
      </c>
      <c r="R31">
        <v>200</v>
      </c>
      <c r="S31">
        <v>6.7</v>
      </c>
      <c r="T31">
        <v>25</v>
      </c>
    </row>
    <row r="32" spans="1:20" x14ac:dyDescent="0.45">
      <c r="A32" t="s">
        <v>31</v>
      </c>
      <c r="B32">
        <v>17940.5</v>
      </c>
      <c r="C32">
        <v>8166.1116614130779</v>
      </c>
      <c r="D32">
        <v>3.0678740690589043E-5</v>
      </c>
      <c r="E32">
        <v>9.5864754472191901E-6</v>
      </c>
      <c r="F32">
        <v>1.1518856609808099E-6</v>
      </c>
      <c r="G32">
        <v>1.585731904871571E-7</v>
      </c>
      <c r="H32">
        <v>3.1100000000000021</v>
      </c>
      <c r="I32">
        <v>0.57982756057296725</v>
      </c>
      <c r="J32">
        <v>6.2850000000000001</v>
      </c>
      <c r="K32">
        <v>0.14849242404917501</v>
      </c>
      <c r="L32">
        <v>599.88</v>
      </c>
      <c r="M32">
        <v>281.33</v>
      </c>
      <c r="N32">
        <v>65</v>
      </c>
      <c r="O32" t="s">
        <v>32</v>
      </c>
      <c r="P32">
        <v>0.35799999999999998</v>
      </c>
      <c r="Q32">
        <v>625000</v>
      </c>
      <c r="R32">
        <v>150</v>
      </c>
      <c r="S32">
        <v>6.7</v>
      </c>
      <c r="T32">
        <v>25</v>
      </c>
    </row>
    <row r="33" spans="1:20" x14ac:dyDescent="0.45">
      <c r="A33" t="s">
        <v>33</v>
      </c>
      <c r="B33">
        <v>5596.5</v>
      </c>
      <c r="C33">
        <v>626.02795464739427</v>
      </c>
      <c r="D33">
        <v>9.0273076055066607E-6</v>
      </c>
      <c r="E33">
        <v>1.6893594130055001E-5</v>
      </c>
      <c r="F33">
        <v>2.9534248400852878E-7</v>
      </c>
      <c r="G33">
        <v>1.744259034660663E-7</v>
      </c>
      <c r="H33">
        <v>0.83000000000000018</v>
      </c>
      <c r="I33">
        <v>0.29698484809835268</v>
      </c>
      <c r="J33">
        <v>6.5549999999999997</v>
      </c>
      <c r="K33">
        <v>7.0710678118653244E-3</v>
      </c>
      <c r="L33">
        <v>627.37</v>
      </c>
      <c r="M33">
        <v>159.03</v>
      </c>
      <c r="N33">
        <v>65</v>
      </c>
      <c r="O33" t="s">
        <v>34</v>
      </c>
      <c r="P33">
        <v>0.35799999999999998</v>
      </c>
      <c r="Q33">
        <v>6250000</v>
      </c>
      <c r="R33">
        <v>200</v>
      </c>
      <c r="S33">
        <v>6.7</v>
      </c>
      <c r="T33">
        <v>25</v>
      </c>
    </row>
    <row r="34" spans="1:20" x14ac:dyDescent="0.45">
      <c r="A34" t="s">
        <v>31</v>
      </c>
      <c r="B34">
        <v>20984.25</v>
      </c>
      <c r="C34">
        <v>1134.545834243818</v>
      </c>
      <c r="D34">
        <v>2.7981127285037238E-4</v>
      </c>
      <c r="E34">
        <v>6.6292393077116492E-5</v>
      </c>
      <c r="F34">
        <v>5.7404384328358214E-6</v>
      </c>
      <c r="G34">
        <v>1.6960432077819529E-6</v>
      </c>
      <c r="H34">
        <v>2.379999999999999</v>
      </c>
      <c r="I34">
        <v>0.22627416997969391</v>
      </c>
      <c r="L34">
        <v>600.82000000000005</v>
      </c>
      <c r="M34">
        <v>167.05</v>
      </c>
      <c r="N34">
        <v>89</v>
      </c>
      <c r="O34" t="s">
        <v>32</v>
      </c>
      <c r="P34">
        <v>0.35799999999999998</v>
      </c>
      <c r="Q34">
        <v>625000</v>
      </c>
      <c r="R34">
        <v>150</v>
      </c>
      <c r="S34">
        <v>6.7</v>
      </c>
      <c r="T34">
        <v>25</v>
      </c>
    </row>
    <row r="35" spans="1:20" x14ac:dyDescent="0.45">
      <c r="A35" t="s">
        <v>33</v>
      </c>
      <c r="B35">
        <v>7449.75</v>
      </c>
      <c r="C35">
        <v>343.81814476066648</v>
      </c>
      <c r="D35">
        <v>2.4172731888964119E-5</v>
      </c>
      <c r="E35">
        <v>1.492330550035718E-5</v>
      </c>
      <c r="F35">
        <v>9.9247068230277148E-7</v>
      </c>
      <c r="G35">
        <v>1.438875412623255E-7</v>
      </c>
      <c r="H35">
        <v>0.46000000000000207</v>
      </c>
      <c r="I35">
        <v>0.36769552621700741</v>
      </c>
      <c r="L35">
        <v>726.24</v>
      </c>
      <c r="M35">
        <v>238.05</v>
      </c>
      <c r="N35">
        <v>89</v>
      </c>
      <c r="O35" t="s">
        <v>34</v>
      </c>
      <c r="P35">
        <v>0.35799999999999998</v>
      </c>
      <c r="Q35">
        <v>625000</v>
      </c>
      <c r="R35">
        <v>200</v>
      </c>
      <c r="S35">
        <v>6.7</v>
      </c>
      <c r="T35">
        <v>25</v>
      </c>
    </row>
    <row r="36" spans="1:20" x14ac:dyDescent="0.45">
      <c r="A36" t="s">
        <v>31</v>
      </c>
      <c r="B36">
        <v>32945.5</v>
      </c>
      <c r="C36">
        <v>10443.85655142135</v>
      </c>
      <c r="D36">
        <v>8.6887835703001581E-4</v>
      </c>
      <c r="E36">
        <v>1.9483274847160699E-4</v>
      </c>
      <c r="F36">
        <v>9.6878331556503196E-6</v>
      </c>
      <c r="G36">
        <v>7.6469309073406531E-7</v>
      </c>
      <c r="H36">
        <v>5.6999999999999993</v>
      </c>
      <c r="I36">
        <v>0.4242640687119289</v>
      </c>
      <c r="J36">
        <v>5.8900000000000006</v>
      </c>
      <c r="K36">
        <v>0.15556349186104029</v>
      </c>
      <c r="L36">
        <v>310.58</v>
      </c>
      <c r="M36">
        <v>200.24</v>
      </c>
      <c r="N36">
        <v>113</v>
      </c>
      <c r="O36" t="s">
        <v>32</v>
      </c>
      <c r="P36">
        <v>0.35799999999999998</v>
      </c>
      <c r="Q36">
        <v>6250000</v>
      </c>
      <c r="R36">
        <v>150</v>
      </c>
      <c r="S36">
        <v>6.7</v>
      </c>
      <c r="T36">
        <v>25</v>
      </c>
    </row>
    <row r="37" spans="1:20" x14ac:dyDescent="0.45">
      <c r="A37" t="s">
        <v>33</v>
      </c>
      <c r="B37">
        <v>18699.75</v>
      </c>
      <c r="C37">
        <v>4358.1224837461068</v>
      </c>
      <c r="D37">
        <v>1.013985274204469E-4</v>
      </c>
      <c r="E37">
        <v>2.9729793884334119E-5</v>
      </c>
      <c r="F37">
        <v>7.9862406716417898E-6</v>
      </c>
      <c r="G37">
        <v>9.9395534681434076E-6</v>
      </c>
      <c r="H37">
        <v>4.58</v>
      </c>
      <c r="I37">
        <v>0.82024386617640521</v>
      </c>
      <c r="J37">
        <v>6.2200000000000006</v>
      </c>
      <c r="K37">
        <v>2.8284271247461929E-2</v>
      </c>
      <c r="L37">
        <v>445.74</v>
      </c>
      <c r="M37">
        <v>284.67</v>
      </c>
      <c r="N37">
        <v>113</v>
      </c>
      <c r="O37" t="s">
        <v>34</v>
      </c>
      <c r="P37">
        <v>0.35799999999999998</v>
      </c>
      <c r="Q37">
        <v>625000</v>
      </c>
      <c r="R37">
        <v>200</v>
      </c>
      <c r="S37">
        <v>6.7</v>
      </c>
      <c r="T37">
        <v>25</v>
      </c>
    </row>
    <row r="38" spans="1:20" x14ac:dyDescent="0.45">
      <c r="A38" t="s">
        <v>31</v>
      </c>
      <c r="B38">
        <v>20460.75</v>
      </c>
      <c r="C38">
        <v>1036.765282019031</v>
      </c>
      <c r="D38">
        <v>6.1780636425186179E-4</v>
      </c>
      <c r="E38">
        <v>1.069526042950415E-4</v>
      </c>
      <c r="F38">
        <v>8.3080690298507467E-6</v>
      </c>
      <c r="G38">
        <v>1.21442608397789E-6</v>
      </c>
      <c r="H38">
        <v>5.32</v>
      </c>
      <c r="I38">
        <v>0.14142135623731339</v>
      </c>
      <c r="J38">
        <v>6.0350000000000001</v>
      </c>
      <c r="K38">
        <v>2.12132034355966E-2</v>
      </c>
      <c r="L38">
        <v>231.31</v>
      </c>
      <c r="M38">
        <v>264.66000000000003</v>
      </c>
      <c r="N38">
        <v>136</v>
      </c>
      <c r="O38" t="s">
        <v>32</v>
      </c>
      <c r="P38">
        <v>0.35799999999999998</v>
      </c>
      <c r="Q38">
        <v>625000</v>
      </c>
      <c r="R38">
        <v>150</v>
      </c>
      <c r="S38">
        <v>6.7</v>
      </c>
      <c r="T38">
        <v>25</v>
      </c>
    </row>
    <row r="39" spans="1:20" x14ac:dyDescent="0.45">
      <c r="A39" t="s">
        <v>33</v>
      </c>
      <c r="B39">
        <v>28880</v>
      </c>
      <c r="C39">
        <v>3109.364243699988</v>
      </c>
      <c r="D39">
        <v>2.197585195215527E-4</v>
      </c>
      <c r="E39">
        <v>6.7096051812633254E-5</v>
      </c>
      <c r="F39">
        <v>4.4096481876332627E-6</v>
      </c>
      <c r="G39">
        <v>8.7851788640653231E-7</v>
      </c>
      <c r="H39">
        <v>5.2299999999999986</v>
      </c>
      <c r="I39">
        <v>0.66468037431535554</v>
      </c>
      <c r="J39">
        <v>6.09</v>
      </c>
      <c r="K39">
        <v>2.8284271247461929E-2</v>
      </c>
      <c r="L39">
        <v>186.31</v>
      </c>
      <c r="M39">
        <v>167.75</v>
      </c>
      <c r="N39">
        <v>136</v>
      </c>
      <c r="O39" t="s">
        <v>34</v>
      </c>
      <c r="P39">
        <v>0.35799999999999998</v>
      </c>
      <c r="Q39">
        <v>6250000</v>
      </c>
      <c r="R39">
        <v>200</v>
      </c>
      <c r="S39">
        <v>6.7</v>
      </c>
      <c r="T39">
        <v>25</v>
      </c>
    </row>
    <row r="40" spans="1:20" x14ac:dyDescent="0.45">
      <c r="A40" t="s">
        <v>31</v>
      </c>
      <c r="B40">
        <v>41598.75</v>
      </c>
      <c r="C40">
        <v>1922.0307619806711</v>
      </c>
      <c r="D40">
        <v>1.2585159952606629E-3</v>
      </c>
      <c r="E40">
        <v>6.1567557397688576E-4</v>
      </c>
      <c r="F40">
        <v>8.0412113539445622E-6</v>
      </c>
      <c r="G40">
        <v>1.13378841679279E-6</v>
      </c>
      <c r="H40">
        <v>6.05</v>
      </c>
      <c r="I40">
        <v>9.8994949366113291E-2</v>
      </c>
      <c r="J40">
        <v>5.8150000000000004</v>
      </c>
      <c r="K40">
        <v>7.7781745930520452E-2</v>
      </c>
      <c r="L40">
        <v>566.33000000000004</v>
      </c>
      <c r="M40">
        <v>298.51</v>
      </c>
      <c r="N40">
        <v>161</v>
      </c>
      <c r="O40" t="s">
        <v>32</v>
      </c>
      <c r="P40">
        <v>0.35799999999999998</v>
      </c>
      <c r="Q40">
        <v>625000</v>
      </c>
      <c r="R40">
        <v>150</v>
      </c>
      <c r="S40">
        <v>6.7</v>
      </c>
      <c r="T40">
        <v>25</v>
      </c>
    </row>
    <row r="41" spans="1:20" x14ac:dyDescent="0.45">
      <c r="A41" t="s">
        <v>33</v>
      </c>
      <c r="B41">
        <v>30366.75</v>
      </c>
      <c r="C41">
        <v>3093.2456929035989</v>
      </c>
      <c r="D41">
        <v>3.496142236515459E-4</v>
      </c>
      <c r="E41">
        <v>1.152048727927281E-4</v>
      </c>
      <c r="F41">
        <v>6.4910381130063966E-6</v>
      </c>
      <c r="G41">
        <v>2.095537607407914E-6</v>
      </c>
      <c r="H41">
        <v>5.7799999999999994</v>
      </c>
      <c r="I41">
        <v>1.2727922061357819</v>
      </c>
      <c r="J41">
        <v>6.0299999999999994</v>
      </c>
      <c r="K41">
        <v>2.8284271247461929E-2</v>
      </c>
      <c r="L41">
        <v>205.54</v>
      </c>
      <c r="M41">
        <v>199.37</v>
      </c>
      <c r="N41">
        <v>161</v>
      </c>
      <c r="O41" t="s">
        <v>34</v>
      </c>
      <c r="P41">
        <v>0.35799999999999998</v>
      </c>
      <c r="Q41">
        <v>625000</v>
      </c>
      <c r="R41">
        <v>200</v>
      </c>
      <c r="S41">
        <v>6.7</v>
      </c>
      <c r="T41">
        <v>25</v>
      </c>
    </row>
    <row r="42" spans="1:20" x14ac:dyDescent="0.45">
      <c r="A42" t="s">
        <v>33</v>
      </c>
      <c r="B42">
        <v>32259.5</v>
      </c>
      <c r="C42">
        <v>1870.458143521706</v>
      </c>
      <c r="D42">
        <v>1.2810842642744301E-3</v>
      </c>
      <c r="E42">
        <v>2.0841340645279201E-4</v>
      </c>
      <c r="F42">
        <v>1.373217617270789E-5</v>
      </c>
      <c r="G42">
        <v>2.1942893778363229E-6</v>
      </c>
      <c r="H42">
        <v>8.5899999999999981</v>
      </c>
      <c r="I42">
        <v>0.8061017305526621</v>
      </c>
      <c r="J42">
        <v>6.0250000000000004</v>
      </c>
      <c r="K42">
        <v>7.0710678118659498E-3</v>
      </c>
      <c r="L42">
        <v>158.29</v>
      </c>
      <c r="M42">
        <v>104.06</v>
      </c>
      <c r="N42">
        <v>210</v>
      </c>
      <c r="O42" t="s">
        <v>32</v>
      </c>
      <c r="P42">
        <v>0.35799999999999998</v>
      </c>
      <c r="Q42">
        <v>6250000</v>
      </c>
      <c r="R42">
        <v>150</v>
      </c>
      <c r="S42">
        <v>6.7</v>
      </c>
      <c r="T42">
        <v>25</v>
      </c>
    </row>
    <row r="43" spans="1:20" x14ac:dyDescent="0.45">
      <c r="A43" t="s">
        <v>35</v>
      </c>
      <c r="B43">
        <v>-313</v>
      </c>
      <c r="C43">
        <v>24.041630560342611</v>
      </c>
      <c r="D43">
        <v>1.3294120965921919E-5</v>
      </c>
      <c r="E43">
        <v>1.074981320737547E-5</v>
      </c>
      <c r="F43">
        <v>-1.109408315565033E-7</v>
      </c>
      <c r="G43">
        <v>1.0144945677889979E-6</v>
      </c>
      <c r="H43">
        <v>-0.4599999999999993</v>
      </c>
      <c r="J43">
        <v>6.57</v>
      </c>
      <c r="K43">
        <v>0</v>
      </c>
      <c r="L43">
        <v>320.79000000000002</v>
      </c>
      <c r="M43">
        <v>196.58</v>
      </c>
      <c r="N43">
        <v>20</v>
      </c>
      <c r="O43" t="s">
        <v>36</v>
      </c>
      <c r="P43">
        <v>0.75</v>
      </c>
      <c r="Q43">
        <v>625000</v>
      </c>
      <c r="R43">
        <v>100</v>
      </c>
      <c r="S43">
        <v>6.7</v>
      </c>
      <c r="T43">
        <v>25</v>
      </c>
    </row>
    <row r="44" spans="1:20" x14ac:dyDescent="0.45">
      <c r="A44" t="s">
        <v>37</v>
      </c>
      <c r="B44">
        <v>323</v>
      </c>
      <c r="C44">
        <v>4.2426406871192848</v>
      </c>
      <c r="D44">
        <v>-1.6185680433310762E-5</v>
      </c>
      <c r="E44">
        <v>4.5914073651242929E-6</v>
      </c>
      <c r="F44">
        <v>8.0956823027718579E-8</v>
      </c>
      <c r="G44">
        <v>2.896799395294845E-7</v>
      </c>
      <c r="H44">
        <v>4.3999999999999986</v>
      </c>
      <c r="J44">
        <v>6.54</v>
      </c>
      <c r="K44">
        <v>0</v>
      </c>
      <c r="L44">
        <v>459.07</v>
      </c>
      <c r="M44">
        <v>83.58</v>
      </c>
      <c r="N44">
        <v>44</v>
      </c>
      <c r="O44" t="s">
        <v>36</v>
      </c>
      <c r="P44">
        <v>0.75</v>
      </c>
      <c r="Q44">
        <v>625000</v>
      </c>
      <c r="R44">
        <v>100</v>
      </c>
      <c r="S44">
        <v>6.7</v>
      </c>
      <c r="T44">
        <v>25</v>
      </c>
    </row>
    <row r="45" spans="1:20" x14ac:dyDescent="0.45">
      <c r="A45" t="s">
        <v>38</v>
      </c>
      <c r="B45">
        <v>4683</v>
      </c>
      <c r="C45">
        <v>202.23253941935261</v>
      </c>
      <c r="D45">
        <v>4.2315504400812593E-6</v>
      </c>
      <c r="E45">
        <v>2.8374419374134229E-6</v>
      </c>
      <c r="F45">
        <v>2.238805970149255E-7</v>
      </c>
      <c r="G45">
        <v>5.8118236906600599E-8</v>
      </c>
      <c r="H45">
        <v>4.4599999999999973</v>
      </c>
      <c r="J45">
        <v>6.51</v>
      </c>
      <c r="K45">
        <v>0</v>
      </c>
      <c r="L45">
        <v>684.51</v>
      </c>
      <c r="M45">
        <v>182.02</v>
      </c>
      <c r="N45">
        <v>68</v>
      </c>
      <c r="O45" t="s">
        <v>36</v>
      </c>
      <c r="P45">
        <v>0.75</v>
      </c>
      <c r="Q45">
        <v>625000</v>
      </c>
      <c r="R45">
        <v>100</v>
      </c>
      <c r="S45">
        <v>6.7</v>
      </c>
      <c r="T45">
        <v>25</v>
      </c>
    </row>
    <row r="46" spans="1:20" x14ac:dyDescent="0.45">
      <c r="A46" t="s">
        <v>39</v>
      </c>
      <c r="B46">
        <v>4478.5</v>
      </c>
      <c r="C46">
        <v>1430.1807578065091</v>
      </c>
      <c r="D46">
        <v>-3.9935257278266748E-5</v>
      </c>
      <c r="E46">
        <v>5.7476708888570169E-5</v>
      </c>
      <c r="F46">
        <v>1.302305437100213E-6</v>
      </c>
      <c r="G46">
        <v>7.4532323863446897E-7</v>
      </c>
      <c r="H46">
        <v>0.4799999999999971</v>
      </c>
      <c r="I46">
        <v>0.84852813742385769</v>
      </c>
      <c r="J46">
        <v>6.5399999999999991</v>
      </c>
      <c r="K46">
        <v>2.8284271247461929E-2</v>
      </c>
      <c r="L46">
        <v>793.73</v>
      </c>
      <c r="M46">
        <v>188.78</v>
      </c>
      <c r="N46">
        <v>92</v>
      </c>
      <c r="O46" t="s">
        <v>36</v>
      </c>
      <c r="P46">
        <v>0.75</v>
      </c>
      <c r="Q46">
        <v>625000</v>
      </c>
      <c r="R46">
        <v>100</v>
      </c>
      <c r="S46">
        <v>6.7</v>
      </c>
      <c r="T46">
        <v>25</v>
      </c>
    </row>
    <row r="47" spans="1:20" x14ac:dyDescent="0.45">
      <c r="A47" t="s">
        <v>40</v>
      </c>
      <c r="B47">
        <v>8087.5</v>
      </c>
      <c r="C47">
        <v>371.64633726164988</v>
      </c>
      <c r="D47">
        <v>4.3831809975174891E-5</v>
      </c>
      <c r="E47">
        <v>8.6072075883424177E-6</v>
      </c>
      <c r="F47">
        <v>1.9034848081023451E-6</v>
      </c>
      <c r="G47">
        <v>3.4891520705433309E-7</v>
      </c>
      <c r="H47">
        <v>2.0499999999999989</v>
      </c>
      <c r="I47">
        <v>0.49497474683058251</v>
      </c>
      <c r="J47">
        <v>6.4349999999999996</v>
      </c>
      <c r="K47">
        <v>2.12132034355966E-2</v>
      </c>
      <c r="L47">
        <v>670</v>
      </c>
      <c r="M47">
        <v>382.31</v>
      </c>
      <c r="N47">
        <v>116</v>
      </c>
      <c r="O47" t="s">
        <v>36</v>
      </c>
      <c r="P47">
        <v>0.75</v>
      </c>
      <c r="Q47">
        <v>625000</v>
      </c>
      <c r="R47">
        <v>100</v>
      </c>
      <c r="S47">
        <v>6.7</v>
      </c>
      <c r="T47">
        <v>25</v>
      </c>
    </row>
    <row r="48" spans="1:20" x14ac:dyDescent="0.45">
      <c r="A48" t="s">
        <v>41</v>
      </c>
      <c r="B48">
        <v>16164</v>
      </c>
      <c r="C48">
        <v>918.38263630507879</v>
      </c>
      <c r="D48">
        <v>3.4434241706161138E-5</v>
      </c>
      <c r="E48">
        <v>4.9666203537377857E-6</v>
      </c>
      <c r="F48">
        <v>1.8740005330490399E-6</v>
      </c>
      <c r="G48">
        <v>1.295413165238896E-7</v>
      </c>
      <c r="H48">
        <v>2.1799999999999988</v>
      </c>
      <c r="I48">
        <v>0.76367532368147228</v>
      </c>
      <c r="J48">
        <v>6.27</v>
      </c>
      <c r="K48">
        <v>1.414213562373128E-2</v>
      </c>
      <c r="L48">
        <v>730.18</v>
      </c>
      <c r="M48">
        <v>337.75</v>
      </c>
      <c r="N48">
        <v>140</v>
      </c>
      <c r="O48" t="s">
        <v>36</v>
      </c>
      <c r="P48">
        <v>0.75</v>
      </c>
      <c r="Q48">
        <v>625000</v>
      </c>
      <c r="R48">
        <v>100</v>
      </c>
      <c r="S48">
        <v>6.7</v>
      </c>
      <c r="T48">
        <v>25</v>
      </c>
    </row>
    <row r="49" spans="1:24" x14ac:dyDescent="0.45">
      <c r="A49" t="s">
        <v>42</v>
      </c>
      <c r="B49">
        <v>22621</v>
      </c>
      <c r="C49">
        <v>649.12402512925064</v>
      </c>
      <c r="D49">
        <v>3.6990803430376871E-5</v>
      </c>
      <c r="E49">
        <v>1.292779250603464E-5</v>
      </c>
      <c r="F49">
        <v>2.4187100213219619E-6</v>
      </c>
      <c r="G49">
        <v>3.7865246556882801E-7</v>
      </c>
      <c r="H49">
        <v>2.0799999999999979</v>
      </c>
      <c r="I49">
        <v>1.018233764908635</v>
      </c>
      <c r="J49">
        <v>6.24</v>
      </c>
      <c r="L49">
        <v>875.56</v>
      </c>
      <c r="M49">
        <v>449.69</v>
      </c>
      <c r="N49">
        <v>162</v>
      </c>
      <c r="O49" t="s">
        <v>36</v>
      </c>
      <c r="P49">
        <v>0.75</v>
      </c>
      <c r="Q49">
        <v>625000</v>
      </c>
      <c r="R49">
        <v>100</v>
      </c>
      <c r="S49">
        <v>6.7</v>
      </c>
      <c r="T49">
        <v>25</v>
      </c>
    </row>
    <row r="50" spans="1:24" x14ac:dyDescent="0.45">
      <c r="A50" t="s">
        <v>43</v>
      </c>
      <c r="B50">
        <v>26646</v>
      </c>
      <c r="C50">
        <v>871.15555442182654</v>
      </c>
      <c r="D50">
        <v>7.3100033852403521E-5</v>
      </c>
      <c r="E50">
        <v>2.508985898905364E-5</v>
      </c>
      <c r="F50">
        <v>2.879464285714286E-6</v>
      </c>
      <c r="G50">
        <v>4.5274860019614128E-8</v>
      </c>
      <c r="H50">
        <v>7.4200000000000044</v>
      </c>
      <c r="L50">
        <v>896.2</v>
      </c>
      <c r="M50">
        <v>345.02</v>
      </c>
      <c r="N50">
        <v>184</v>
      </c>
      <c r="O50" t="s">
        <v>36</v>
      </c>
      <c r="P50">
        <v>0.75</v>
      </c>
      <c r="Q50">
        <v>625000</v>
      </c>
      <c r="R50">
        <v>100</v>
      </c>
      <c r="S50">
        <v>6.7</v>
      </c>
      <c r="T50">
        <v>25</v>
      </c>
    </row>
    <row r="51" spans="1:24" x14ac:dyDescent="0.45">
      <c r="A51" t="s">
        <v>44</v>
      </c>
      <c r="B51">
        <v>34277</v>
      </c>
      <c r="C51">
        <v>1330.774962193083</v>
      </c>
      <c r="D51">
        <v>1.012045813586098E-4</v>
      </c>
      <c r="E51">
        <v>1.100896098883634E-5</v>
      </c>
      <c r="F51">
        <v>4.3366871002132199E-6</v>
      </c>
      <c r="G51">
        <v>9.3552099827507837E-8</v>
      </c>
      <c r="J51">
        <v>6.1</v>
      </c>
      <c r="L51">
        <v>782.77</v>
      </c>
      <c r="M51">
        <v>415.54</v>
      </c>
      <c r="N51">
        <v>208</v>
      </c>
      <c r="O51" t="s">
        <v>36</v>
      </c>
      <c r="P51">
        <v>0.75</v>
      </c>
      <c r="Q51">
        <v>625000</v>
      </c>
      <c r="R51">
        <v>100</v>
      </c>
      <c r="S51">
        <v>6.7</v>
      </c>
      <c r="T51">
        <v>25</v>
      </c>
    </row>
    <row r="52" spans="1:24" x14ac:dyDescent="0.45">
      <c r="A52" t="s">
        <v>45</v>
      </c>
      <c r="B52">
        <v>49016</v>
      </c>
      <c r="C52">
        <v>1897.8746007046941</v>
      </c>
      <c r="D52">
        <v>4.1056618144888279E-4</v>
      </c>
      <c r="E52">
        <v>3.2552775393616017E-5</v>
      </c>
      <c r="F52">
        <v>9.8887260127931758E-6</v>
      </c>
      <c r="G52">
        <v>3.2789828348748259E-7</v>
      </c>
      <c r="J52">
        <v>5.94</v>
      </c>
      <c r="L52">
        <v>307.73</v>
      </c>
      <c r="M52">
        <v>246.97</v>
      </c>
      <c r="N52">
        <v>236</v>
      </c>
      <c r="O52" t="s">
        <v>36</v>
      </c>
      <c r="P52">
        <v>0.75</v>
      </c>
      <c r="Q52">
        <v>625000</v>
      </c>
      <c r="R52">
        <v>100</v>
      </c>
      <c r="S52">
        <v>6.7</v>
      </c>
      <c r="T52">
        <v>25</v>
      </c>
    </row>
    <row r="53" spans="1:24" x14ac:dyDescent="0.45">
      <c r="A53" t="s">
        <v>46</v>
      </c>
      <c r="B53">
        <v>2701</v>
      </c>
      <c r="C53">
        <v>140.00714267493643</v>
      </c>
      <c r="D53">
        <v>6.9309269916497393E-5</v>
      </c>
      <c r="E53">
        <v>6.4681537076837971E-6</v>
      </c>
      <c r="F53">
        <v>4.7774520255863545E-7</v>
      </c>
      <c r="G53">
        <v>7.4516859452488941E-8</v>
      </c>
      <c r="H53">
        <v>0.53999999999999881</v>
      </c>
      <c r="I53">
        <v>0.14142135623730603</v>
      </c>
      <c r="J53">
        <v>6.5399999999999991</v>
      </c>
      <c r="K53">
        <v>2.8284271247461926E-2</v>
      </c>
      <c r="L53">
        <v>1016.723456550924</v>
      </c>
      <c r="M53">
        <v>311.87818220747891</v>
      </c>
      <c r="N53">
        <v>67</v>
      </c>
      <c r="O53" t="s">
        <v>86</v>
      </c>
      <c r="P53" s="2">
        <v>0.36</v>
      </c>
      <c r="Q53" s="3">
        <v>1000000</v>
      </c>
      <c r="R53" s="2">
        <v>150</v>
      </c>
      <c r="S53">
        <v>6.7</v>
      </c>
      <c r="T53">
        <v>25</v>
      </c>
      <c r="U53">
        <v>2.0474344721644832E-3</v>
      </c>
      <c r="V53">
        <v>-0.20434731519319671</v>
      </c>
      <c r="W53">
        <v>1.2928931731525249E-3</v>
      </c>
      <c r="X53">
        <v>6.4647175945833066E-2</v>
      </c>
    </row>
    <row r="54" spans="1:24" x14ac:dyDescent="0.45">
      <c r="A54" t="s">
        <v>48</v>
      </c>
      <c r="B54">
        <v>15996.5</v>
      </c>
      <c r="C54">
        <v>1089.3785690322111</v>
      </c>
      <c r="D54">
        <v>8.1827606635071089E-5</v>
      </c>
      <c r="E54">
        <v>1.469713993004437E-5</v>
      </c>
      <c r="F54">
        <v>2.1938299573560759E-6</v>
      </c>
      <c r="G54">
        <v>9.2304129798138495E-8</v>
      </c>
      <c r="H54">
        <v>3.1399999999999983</v>
      </c>
      <c r="I54">
        <v>0.48083261120685356</v>
      </c>
      <c r="J54">
        <v>6.3350000000000009</v>
      </c>
      <c r="K54">
        <v>0.2050609665440988</v>
      </c>
      <c r="L54">
        <v>671.60384802943076</v>
      </c>
      <c r="M54">
        <v>414.1920799216366</v>
      </c>
      <c r="N54">
        <v>114</v>
      </c>
      <c r="O54" t="s">
        <v>86</v>
      </c>
      <c r="P54" s="2">
        <v>0.36</v>
      </c>
      <c r="Q54" s="3">
        <v>1000000</v>
      </c>
      <c r="R54" s="2">
        <v>150</v>
      </c>
      <c r="S54">
        <v>6.7</v>
      </c>
      <c r="T54">
        <v>25</v>
      </c>
      <c r="U54">
        <v>2.5809448812373841E-2</v>
      </c>
      <c r="V54">
        <v>-0.68700287052435272</v>
      </c>
      <c r="W54">
        <v>1.381377861711254E-3</v>
      </c>
      <c r="X54">
        <v>5.7807661864980667E-2</v>
      </c>
    </row>
    <row r="55" spans="1:24" x14ac:dyDescent="0.45">
      <c r="A55" t="s">
        <v>49</v>
      </c>
      <c r="B55">
        <v>52744</v>
      </c>
      <c r="C55">
        <v>12315.631449503509</v>
      </c>
      <c r="D55">
        <v>2.9164198262243278E-4</v>
      </c>
      <c r="E55">
        <v>1.274997736312476E-4</v>
      </c>
      <c r="F55">
        <v>3.8674373667377401E-6</v>
      </c>
      <c r="G55">
        <v>1.4250717490475781E-6</v>
      </c>
      <c r="H55">
        <v>6.2799999999999994</v>
      </c>
      <c r="I55">
        <v>1.3859292911256331</v>
      </c>
      <c r="J55">
        <v>6.1050000000000004</v>
      </c>
      <c r="K55">
        <v>0.10606601717798175</v>
      </c>
      <c r="L55">
        <v>634.72724429835944</v>
      </c>
      <c r="M55">
        <v>404.05393971338111</v>
      </c>
      <c r="N55">
        <v>162</v>
      </c>
      <c r="O55" t="s">
        <v>86</v>
      </c>
      <c r="P55" s="2">
        <v>0.36</v>
      </c>
      <c r="Q55" s="3">
        <v>1000000</v>
      </c>
      <c r="R55" s="2">
        <v>150</v>
      </c>
      <c r="S55">
        <v>6.7</v>
      </c>
      <c r="T55">
        <v>25</v>
      </c>
      <c r="U55">
        <v>0.43645734389587582</v>
      </c>
      <c r="V55">
        <v>-1.110876200464201</v>
      </c>
      <c r="W55">
        <v>0.36921062462971349</v>
      </c>
      <c r="X55">
        <v>0.1664721911405129</v>
      </c>
    </row>
    <row r="56" spans="1:24" x14ac:dyDescent="0.45">
      <c r="A56" t="s">
        <v>47</v>
      </c>
      <c r="B56">
        <v>18614</v>
      </c>
      <c r="C56">
        <v>849.94235098623028</v>
      </c>
      <c r="D56">
        <v>5.0760973820807937E-5</v>
      </c>
      <c r="E56">
        <v>8.5895016996505992E-6</v>
      </c>
      <c r="F56">
        <v>4.1927638592750541E-7</v>
      </c>
      <c r="G56">
        <v>7.7983368111408711E-8</v>
      </c>
      <c r="H56">
        <v>2.5100000000000011</v>
      </c>
      <c r="I56">
        <v>0.15556349186103902</v>
      </c>
      <c r="J56">
        <v>6.3449999999999998</v>
      </c>
      <c r="K56">
        <v>6.3639610306789177E-2</v>
      </c>
      <c r="L56">
        <v>405.29552847734732</v>
      </c>
      <c r="M56">
        <v>150.71584210330261</v>
      </c>
      <c r="N56">
        <v>67</v>
      </c>
      <c r="O56" t="s">
        <v>87</v>
      </c>
      <c r="P56" s="2">
        <v>1</v>
      </c>
      <c r="Q56" s="3">
        <v>10000000</v>
      </c>
      <c r="R56" s="2">
        <v>150</v>
      </c>
      <c r="S56">
        <v>6.7</v>
      </c>
      <c r="T56">
        <v>25</v>
      </c>
      <c r="U56">
        <v>8.3577244541806379E-3</v>
      </c>
      <c r="V56">
        <v>-0.57350163296436563</v>
      </c>
      <c r="W56">
        <v>4.7302747849421768E-3</v>
      </c>
      <c r="X56">
        <v>0.24246438061753581</v>
      </c>
    </row>
    <row r="57" spans="1:24" x14ac:dyDescent="0.45">
      <c r="A57" t="s">
        <v>50</v>
      </c>
      <c r="B57">
        <v>31497.5</v>
      </c>
      <c r="C57">
        <v>20070.110487986851</v>
      </c>
      <c r="D57">
        <v>1.1389923267885351E-5</v>
      </c>
      <c r="E57">
        <v>2.1895129896755041E-5</v>
      </c>
      <c r="F57">
        <v>2.3447494669509591E-6</v>
      </c>
      <c r="G57">
        <v>1.6933898002176919E-6</v>
      </c>
      <c r="H57">
        <v>4.339999999999999</v>
      </c>
      <c r="I57">
        <v>0</v>
      </c>
      <c r="J57">
        <v>6.3350000000000009</v>
      </c>
      <c r="K57">
        <v>0.2050609665440988</v>
      </c>
      <c r="L57">
        <v>494.80014165750742</v>
      </c>
      <c r="M57">
        <v>226.44479522278891</v>
      </c>
      <c r="N57">
        <v>114</v>
      </c>
      <c r="O57" t="s">
        <v>87</v>
      </c>
      <c r="P57" s="2">
        <v>1</v>
      </c>
      <c r="Q57" s="3">
        <v>10000000</v>
      </c>
      <c r="R57" s="2">
        <v>150</v>
      </c>
      <c r="S57">
        <v>6.7</v>
      </c>
      <c r="T57">
        <v>25</v>
      </c>
      <c r="U57">
        <v>1.6941345625858969E-2</v>
      </c>
      <c r="V57">
        <v>-0.80877498530325054</v>
      </c>
      <c r="W57">
        <v>6.6594855559512839E-3</v>
      </c>
      <c r="X57">
        <v>0.2541286868905937</v>
      </c>
    </row>
    <row r="58" spans="1:24" x14ac:dyDescent="0.45">
      <c r="A58" t="s">
        <v>51</v>
      </c>
      <c r="B58">
        <v>47387</v>
      </c>
      <c r="C58">
        <v>2111.8574762516532</v>
      </c>
      <c r="D58">
        <v>1.7820116790792149E-4</v>
      </c>
      <c r="E58">
        <v>4.5270523234036582E-5</v>
      </c>
      <c r="F58">
        <v>4.8669043176972269E-6</v>
      </c>
      <c r="G58">
        <v>8.638036492024E-7</v>
      </c>
      <c r="H58">
        <v>6.379999999999999</v>
      </c>
      <c r="I58">
        <v>0.70710678118654435</v>
      </c>
      <c r="J58">
        <v>5.9950000000000001</v>
      </c>
      <c r="K58">
        <v>7.7781745930519827E-2</v>
      </c>
      <c r="L58">
        <v>419.2584758134642</v>
      </c>
      <c r="M58">
        <v>216.16553194945561</v>
      </c>
      <c r="N58">
        <v>162</v>
      </c>
      <c r="O58" t="s">
        <v>87</v>
      </c>
      <c r="P58" s="2">
        <v>1</v>
      </c>
      <c r="Q58" s="3">
        <v>10000000</v>
      </c>
      <c r="R58" s="2">
        <v>150</v>
      </c>
      <c r="S58">
        <v>6.7</v>
      </c>
      <c r="T58">
        <v>25</v>
      </c>
      <c r="U58">
        <v>2.007312174520073E-2</v>
      </c>
      <c r="V58">
        <v>-0.83796132818603852</v>
      </c>
      <c r="W58">
        <v>3.530871978160181E-3</v>
      </c>
      <c r="X58">
        <v>4.8924130389516648E-3</v>
      </c>
    </row>
    <row r="59" spans="1:24" x14ac:dyDescent="0.45">
      <c r="A59" t="s">
        <v>52</v>
      </c>
      <c r="B59">
        <v>14431</v>
      </c>
      <c r="C59">
        <v>1179.6459920953689</v>
      </c>
      <c r="D59">
        <v>-7.5356860753780184E-5</v>
      </c>
      <c r="E59">
        <v>5.5015464278195649E-5</v>
      </c>
      <c r="F59">
        <v>2.483675373134328E-7</v>
      </c>
      <c r="G59">
        <v>6.7928048038317957E-8</v>
      </c>
      <c r="H59">
        <v>4.6300000000000008</v>
      </c>
      <c r="I59">
        <v>0.24041630560342353</v>
      </c>
      <c r="J59">
        <v>6.26</v>
      </c>
      <c r="K59">
        <v>5.6568542494923851E-2</v>
      </c>
      <c r="L59">
        <v>203.4619619603848</v>
      </c>
      <c r="M59">
        <v>70.824226334915366</v>
      </c>
      <c r="N59">
        <v>65</v>
      </c>
      <c r="O59" t="s">
        <v>88</v>
      </c>
      <c r="P59" s="2">
        <v>1.75</v>
      </c>
      <c r="Q59" s="3">
        <v>100000000</v>
      </c>
      <c r="R59" s="2">
        <v>150</v>
      </c>
      <c r="S59">
        <v>6.7</v>
      </c>
      <c r="T59">
        <v>25</v>
      </c>
      <c r="U59">
        <v>2.4133723165866771E-2</v>
      </c>
      <c r="V59">
        <v>-0.79022706555640831</v>
      </c>
      <c r="W59">
        <v>3.8095888571997049E-3</v>
      </c>
      <c r="X59">
        <v>0.15476665750971039</v>
      </c>
    </row>
    <row r="60" spans="1:24" x14ac:dyDescent="0.45">
      <c r="A60" t="s">
        <v>53</v>
      </c>
      <c r="B60">
        <v>53370</v>
      </c>
      <c r="C60">
        <v>1927.0784450388451</v>
      </c>
      <c r="D60">
        <v>4.293260550665764E-5</v>
      </c>
      <c r="E60">
        <v>5.1057354798772989E-6</v>
      </c>
      <c r="F60">
        <v>3.4926372601279311E-6</v>
      </c>
      <c r="G60">
        <v>5.3241349443934022E-7</v>
      </c>
      <c r="H60">
        <v>6.25</v>
      </c>
      <c r="I60">
        <v>0.21213203435596475</v>
      </c>
      <c r="J60">
        <v>5.875</v>
      </c>
      <c r="K60">
        <v>2.1213203435595972E-2</v>
      </c>
      <c r="L60">
        <v>222.95198572444369</v>
      </c>
      <c r="M60">
        <v>88.759417200603366</v>
      </c>
      <c r="N60">
        <v>114</v>
      </c>
      <c r="O60" t="s">
        <v>88</v>
      </c>
      <c r="P60" s="2">
        <v>1.75</v>
      </c>
      <c r="Q60" s="3">
        <v>100000000</v>
      </c>
      <c r="R60" s="2">
        <v>150</v>
      </c>
      <c r="S60">
        <v>6.7</v>
      </c>
      <c r="T60">
        <v>25</v>
      </c>
      <c r="U60">
        <v>4.2562079461757323E-2</v>
      </c>
      <c r="V60">
        <v>-0.94783192432405583</v>
      </c>
      <c r="W60">
        <v>5.391367605523471E-3</v>
      </c>
      <c r="X60">
        <v>0.1049082015535537</v>
      </c>
    </row>
    <row r="61" spans="1:24" x14ac:dyDescent="0.45">
      <c r="A61" t="s">
        <v>54</v>
      </c>
      <c r="B61">
        <v>64959</v>
      </c>
      <c r="C61">
        <v>8907.94488083531</v>
      </c>
      <c r="D61">
        <v>1.1978814037463319E-4</v>
      </c>
      <c r="E61">
        <v>3.7176589732193551E-5</v>
      </c>
      <c r="F61">
        <v>5.5195562366737729E-6</v>
      </c>
      <c r="G61">
        <v>8.5449623056895623E-8</v>
      </c>
      <c r="H61">
        <v>7.1699999999999982</v>
      </c>
      <c r="I61">
        <v>0.4666904755831171</v>
      </c>
      <c r="J61">
        <v>5.875</v>
      </c>
      <c r="K61">
        <v>3.5355339059327882E-2</v>
      </c>
      <c r="L61">
        <v>274.50439994109121</v>
      </c>
      <c r="M61">
        <v>73.593921348065564</v>
      </c>
      <c r="N61">
        <v>161</v>
      </c>
      <c r="O61" t="s">
        <v>88</v>
      </c>
      <c r="P61" s="2">
        <v>1.75</v>
      </c>
      <c r="Q61" s="3">
        <v>100000000</v>
      </c>
      <c r="R61" s="2">
        <v>150</v>
      </c>
      <c r="S61">
        <v>6.7</v>
      </c>
      <c r="T61">
        <v>25</v>
      </c>
      <c r="U61">
        <v>3.4184436773397893E-2</v>
      </c>
      <c r="V61">
        <v>-0.87817329558799462</v>
      </c>
      <c r="W61">
        <v>2.774361236663408E-3</v>
      </c>
      <c r="X61">
        <v>2.1472954943016299E-2</v>
      </c>
    </row>
    <row r="62" spans="1:24" x14ac:dyDescent="0.45">
      <c r="A62" t="s">
        <v>55</v>
      </c>
      <c r="B62">
        <v>75414.5</v>
      </c>
      <c r="C62">
        <v>4733.0913435794446</v>
      </c>
      <c r="D62">
        <v>2.0434862333559009E-5</v>
      </c>
      <c r="E62">
        <v>1.7476661513251512E-5</v>
      </c>
      <c r="F62">
        <v>1.302055570362473E-5</v>
      </c>
      <c r="G62">
        <v>1.0654565485000611E-6</v>
      </c>
      <c r="H62">
        <v>5.7699999999999978</v>
      </c>
      <c r="I62">
        <v>0.26870057685088922</v>
      </c>
      <c r="J62">
        <v>5.9550000000000001</v>
      </c>
      <c r="K62">
        <v>2.1213203435595972E-2</v>
      </c>
      <c r="L62">
        <v>179.99752830072671</v>
      </c>
      <c r="M62">
        <v>50.797480824544571</v>
      </c>
      <c r="N62">
        <v>65</v>
      </c>
      <c r="O62" t="s">
        <v>89</v>
      </c>
      <c r="P62" s="2">
        <v>0.36</v>
      </c>
      <c r="Q62" s="3">
        <v>100000000</v>
      </c>
      <c r="R62" s="2">
        <v>300</v>
      </c>
      <c r="S62">
        <v>6.7</v>
      </c>
      <c r="T62">
        <v>25</v>
      </c>
      <c r="U62">
        <v>3.3544457453965337E-2</v>
      </c>
      <c r="V62">
        <v>-1.0190656030523939</v>
      </c>
      <c r="W62">
        <v>3.2958416066305091E-2</v>
      </c>
      <c r="X62">
        <v>0.33085773708525867</v>
      </c>
    </row>
    <row r="63" spans="1:24" x14ac:dyDescent="0.45">
      <c r="A63" t="s">
        <v>56</v>
      </c>
      <c r="B63">
        <v>123341</v>
      </c>
      <c r="C63">
        <v>5380.2250882281869</v>
      </c>
      <c r="D63">
        <v>4.5078354208982172E-4</v>
      </c>
      <c r="E63">
        <v>4.1060781438457193E-5</v>
      </c>
      <c r="F63">
        <v>1.6619636194029848E-5</v>
      </c>
      <c r="G63">
        <v>8.0229728791359326E-7</v>
      </c>
      <c r="H63">
        <v>6.0399999999999983</v>
      </c>
      <c r="I63">
        <v>0.56568542494924234</v>
      </c>
      <c r="J63">
        <v>5.9450000000000003</v>
      </c>
      <c r="K63">
        <v>7.0710678118653244E-3</v>
      </c>
      <c r="L63">
        <v>168.2235966088256</v>
      </c>
      <c r="M63">
        <v>32.007169407078642</v>
      </c>
      <c r="N63">
        <v>114</v>
      </c>
      <c r="O63" t="s">
        <v>89</v>
      </c>
      <c r="P63" s="2">
        <v>0.36</v>
      </c>
      <c r="Q63" s="3">
        <v>100000000</v>
      </c>
      <c r="R63" s="2">
        <v>300</v>
      </c>
      <c r="S63">
        <v>6.7</v>
      </c>
      <c r="T63">
        <v>25</v>
      </c>
      <c r="U63">
        <v>1.659619824813139E-2</v>
      </c>
      <c r="V63">
        <v>-0.88639452859897927</v>
      </c>
      <c r="W63">
        <v>4.6847652747320726E-3</v>
      </c>
      <c r="X63">
        <v>3.326917263482565E-2</v>
      </c>
    </row>
    <row r="64" spans="1:24" x14ac:dyDescent="0.45">
      <c r="A64" t="s">
        <v>57</v>
      </c>
      <c r="B64">
        <v>121936</v>
      </c>
      <c r="C64">
        <v>3829.50588631658</v>
      </c>
      <c r="D64">
        <v>2.6785714285714282E-4</v>
      </c>
      <c r="E64">
        <v>6.6773931494449655E-5</v>
      </c>
      <c r="F64">
        <v>1.0091118070362469E-5</v>
      </c>
      <c r="G64">
        <v>2.1601636495541019E-7</v>
      </c>
      <c r="H64">
        <v>5.509999999999998</v>
      </c>
      <c r="I64">
        <v>0.38183766184073253</v>
      </c>
      <c r="J64">
        <v>6.2</v>
      </c>
      <c r="K64">
        <v>0</v>
      </c>
      <c r="L64">
        <v>155.53024384235519</v>
      </c>
      <c r="M64">
        <v>38.015759521662098</v>
      </c>
      <c r="N64">
        <v>161</v>
      </c>
      <c r="O64" t="s">
        <v>89</v>
      </c>
      <c r="P64" s="2">
        <v>0.36</v>
      </c>
      <c r="Q64" s="3">
        <v>100000000</v>
      </c>
      <c r="R64" s="2">
        <v>300</v>
      </c>
      <c r="S64">
        <v>6.7</v>
      </c>
      <c r="T64">
        <v>25</v>
      </c>
      <c r="U64">
        <v>8.4041185436469785E-3</v>
      </c>
      <c r="V64">
        <v>-0.83299686196320266</v>
      </c>
      <c r="W64">
        <v>1.454947669488981E-3</v>
      </c>
      <c r="X64">
        <v>5.2365731682402501E-2</v>
      </c>
    </row>
    <row r="65" spans="1:24" x14ac:dyDescent="0.45">
      <c r="A65" t="s">
        <v>58</v>
      </c>
      <c r="B65">
        <v>6248</v>
      </c>
      <c r="C65">
        <v>1145.5129855222069</v>
      </c>
      <c r="D65">
        <v>3.2406623786955528E-5</v>
      </c>
      <c r="E65">
        <v>4.0404193710150183E-5</v>
      </c>
      <c r="F65">
        <v>1.139392324093817E-7</v>
      </c>
      <c r="G65">
        <v>9.3465620213962437E-8</v>
      </c>
      <c r="H65">
        <v>2.62</v>
      </c>
      <c r="I65">
        <v>0.53740115370177954</v>
      </c>
      <c r="J65">
        <v>6.4950000000000001</v>
      </c>
      <c r="K65">
        <v>2.1213203435595972E-2</v>
      </c>
      <c r="L65">
        <v>164.25036986787211</v>
      </c>
      <c r="M65">
        <v>47.134815665193877</v>
      </c>
      <c r="N65">
        <v>66</v>
      </c>
      <c r="O65" t="s">
        <v>90</v>
      </c>
      <c r="P65" s="2">
        <v>1.75</v>
      </c>
      <c r="Q65" s="3">
        <v>10000000</v>
      </c>
      <c r="R65" s="2">
        <v>300</v>
      </c>
      <c r="S65">
        <v>6.7</v>
      </c>
      <c r="T65">
        <v>25</v>
      </c>
      <c r="U65">
        <v>5.5070062344767219E-3</v>
      </c>
      <c r="V65">
        <v>-0.45430185084833319</v>
      </c>
      <c r="W65">
        <v>3.6234417177993989E-4</v>
      </c>
      <c r="X65">
        <v>4.8247217163203432E-2</v>
      </c>
    </row>
    <row r="66" spans="1:24" x14ac:dyDescent="0.45">
      <c r="A66" t="s">
        <v>59</v>
      </c>
      <c r="B66">
        <v>17288</v>
      </c>
      <c r="C66">
        <v>3341.786647887624</v>
      </c>
      <c r="D66">
        <v>-1.447542879711126E-5</v>
      </c>
      <c r="E66">
        <v>3.1467375997329249E-6</v>
      </c>
      <c r="F66">
        <v>5.6020122601279311E-7</v>
      </c>
      <c r="G66">
        <v>2.2471977483750821E-7</v>
      </c>
      <c r="H66">
        <v>3.8100000000000023</v>
      </c>
      <c r="I66">
        <v>0.43840620433565797</v>
      </c>
      <c r="J66">
        <v>6.31</v>
      </c>
      <c r="K66">
        <v>5.6568542494923851E-2</v>
      </c>
      <c r="L66">
        <v>248.0142239201075</v>
      </c>
      <c r="M66">
        <v>113.3795411413778</v>
      </c>
      <c r="N66">
        <v>114</v>
      </c>
      <c r="O66" t="s">
        <v>90</v>
      </c>
      <c r="P66" s="2">
        <v>1.75</v>
      </c>
      <c r="Q66" s="3">
        <v>10000000</v>
      </c>
      <c r="R66" s="2">
        <v>300</v>
      </c>
      <c r="S66">
        <v>6.7</v>
      </c>
      <c r="T66">
        <v>25</v>
      </c>
      <c r="U66">
        <v>1.403583051280448E-2</v>
      </c>
      <c r="V66">
        <v>-0.80812788431428362</v>
      </c>
      <c r="W66">
        <v>6.6289372957346899E-3</v>
      </c>
      <c r="X66">
        <v>8.0867848488093322E-2</v>
      </c>
    </row>
    <row r="67" spans="1:24" x14ac:dyDescent="0.45">
      <c r="A67" t="s">
        <v>60</v>
      </c>
      <c r="B67">
        <v>65536</v>
      </c>
      <c r="C67">
        <v>16570.340310325559</v>
      </c>
      <c r="D67">
        <v>9.7748815165876775E-5</v>
      </c>
      <c r="E67">
        <v>2.879695634433428E-5</v>
      </c>
      <c r="F67">
        <v>5.3171641791044767E-6</v>
      </c>
      <c r="G67">
        <v>1.511538478070664E-6</v>
      </c>
      <c r="H67">
        <v>7.03</v>
      </c>
      <c r="I67">
        <v>0.94752308678997477</v>
      </c>
      <c r="J67">
        <v>5.88</v>
      </c>
      <c r="K67">
        <v>7.0710678118654502E-2</v>
      </c>
      <c r="L67">
        <v>150.69762135871389</v>
      </c>
      <c r="M67">
        <v>76.095838195932927</v>
      </c>
      <c r="N67">
        <v>162</v>
      </c>
      <c r="O67" t="s">
        <v>90</v>
      </c>
      <c r="P67" s="2">
        <v>1.75</v>
      </c>
      <c r="Q67" s="3">
        <v>10000000</v>
      </c>
      <c r="R67" s="2">
        <v>300</v>
      </c>
      <c r="S67">
        <v>6.7</v>
      </c>
      <c r="T67">
        <v>25</v>
      </c>
      <c r="U67">
        <v>4.9092293479009633E-2</v>
      </c>
      <c r="V67">
        <v>-0.97966306400269243</v>
      </c>
      <c r="W67">
        <v>4.8221118272901771E-2</v>
      </c>
      <c r="X67">
        <v>0.21173172407057581</v>
      </c>
    </row>
    <row r="68" spans="1:24" x14ac:dyDescent="0.45">
      <c r="A68" t="s">
        <v>61</v>
      </c>
      <c r="B68">
        <v>5750</v>
      </c>
      <c r="C68">
        <v>1872.418756581978</v>
      </c>
      <c r="D68">
        <v>-2.507193635748138E-5</v>
      </c>
      <c r="E68">
        <v>1.192360561052604E-5</v>
      </c>
      <c r="F68">
        <v>3.5780916844349681E-7</v>
      </c>
      <c r="G68">
        <v>1.8950303052747929E-7</v>
      </c>
      <c r="H68">
        <v>0.57999999999999718</v>
      </c>
      <c r="I68">
        <v>0.50911688245431297</v>
      </c>
      <c r="J68">
        <v>6.58</v>
      </c>
      <c r="K68">
        <v>1.4142135623730649E-2</v>
      </c>
      <c r="L68">
        <v>404.68988263563659</v>
      </c>
      <c r="M68">
        <v>133.3839308905815</v>
      </c>
      <c r="N68">
        <v>66</v>
      </c>
      <c r="O68" t="s">
        <v>91</v>
      </c>
      <c r="P68" s="2">
        <v>1</v>
      </c>
      <c r="Q68" s="3">
        <v>1000000</v>
      </c>
      <c r="R68" s="2">
        <v>300</v>
      </c>
      <c r="S68">
        <v>6.7</v>
      </c>
      <c r="T68">
        <v>25</v>
      </c>
    </row>
    <row r="69" spans="1:24" x14ac:dyDescent="0.45">
      <c r="A69" t="s">
        <v>62</v>
      </c>
      <c r="B69">
        <v>30578</v>
      </c>
      <c r="C69">
        <v>11224.613044555261</v>
      </c>
      <c r="D69">
        <v>1.9570920785375759E-6</v>
      </c>
      <c r="E69">
        <v>8.6915562392917606E-6</v>
      </c>
      <c r="F69">
        <v>2.9284381663113011E-6</v>
      </c>
      <c r="G69">
        <v>2.9347882032732758E-7</v>
      </c>
      <c r="H69">
        <v>3.2399999999999984</v>
      </c>
      <c r="I69">
        <v>0.39597979746446194</v>
      </c>
      <c r="J69">
        <v>6.36</v>
      </c>
      <c r="K69">
        <v>5.6568542494923851E-2</v>
      </c>
      <c r="L69">
        <v>434.84679735652281</v>
      </c>
      <c r="M69">
        <v>180.24616882279551</v>
      </c>
      <c r="N69">
        <v>114</v>
      </c>
      <c r="O69" t="s">
        <v>91</v>
      </c>
      <c r="P69" s="2">
        <v>1</v>
      </c>
      <c r="Q69" s="3">
        <v>1000000</v>
      </c>
      <c r="R69" s="2">
        <v>300</v>
      </c>
      <c r="S69">
        <v>6.7</v>
      </c>
      <c r="T69">
        <v>25</v>
      </c>
      <c r="U69">
        <v>1.298782013809883E-2</v>
      </c>
      <c r="V69">
        <v>-0.83417035433211217</v>
      </c>
      <c r="W69">
        <v>1.8897868374420439E-3</v>
      </c>
      <c r="X69">
        <v>4.022892911074552E-2</v>
      </c>
    </row>
    <row r="70" spans="1:24" x14ac:dyDescent="0.45">
      <c r="A70" t="s">
        <v>63</v>
      </c>
      <c r="B70">
        <v>46441</v>
      </c>
      <c r="C70">
        <v>11964.24673767638</v>
      </c>
      <c r="D70">
        <v>1.3519803656059581E-4</v>
      </c>
      <c r="E70">
        <v>4.5866806909782519E-5</v>
      </c>
      <c r="F70">
        <v>8.0811900319829417E-6</v>
      </c>
      <c r="G70">
        <v>8.7568021844859454E-7</v>
      </c>
      <c r="H70">
        <v>6.83</v>
      </c>
      <c r="I70">
        <v>0.60811183182043049</v>
      </c>
      <c r="J70">
        <v>6.0250000000000004</v>
      </c>
      <c r="K70">
        <v>7.0710678118659524E-3</v>
      </c>
      <c r="L70">
        <v>177.0698302321739</v>
      </c>
      <c r="M70">
        <v>138.2526687989089</v>
      </c>
      <c r="N70">
        <v>162</v>
      </c>
      <c r="O70" t="s">
        <v>91</v>
      </c>
      <c r="P70" s="2">
        <v>1</v>
      </c>
      <c r="Q70" s="3">
        <v>1000000</v>
      </c>
      <c r="R70" s="2">
        <v>300</v>
      </c>
      <c r="S70">
        <v>6.7</v>
      </c>
      <c r="T70">
        <v>25</v>
      </c>
      <c r="U70">
        <v>3.8471989436716772E-2</v>
      </c>
      <c r="V70">
        <v>-0.95925554055926265</v>
      </c>
      <c r="W70">
        <v>3.4266707487132932E-2</v>
      </c>
      <c r="X70">
        <v>0.20120185922941111</v>
      </c>
    </row>
    <row r="71" spans="1:24" x14ac:dyDescent="0.45">
      <c r="A71" t="s">
        <v>64</v>
      </c>
      <c r="B71">
        <v>70317</v>
      </c>
      <c r="C71">
        <v>1715.4410511585641</v>
      </c>
      <c r="D71">
        <v>6.5236402617919368E-7</v>
      </c>
      <c r="E71">
        <v>1.952923710340286E-6</v>
      </c>
      <c r="F71">
        <v>1.536680437100213E-6</v>
      </c>
      <c r="G71">
        <v>3.4730495554662188E-7</v>
      </c>
      <c r="H71">
        <v>3.58</v>
      </c>
      <c r="I71">
        <v>0.28284271247461895</v>
      </c>
      <c r="J71">
        <v>6.2450000000000001</v>
      </c>
      <c r="K71">
        <v>2.1213203435595972E-2</v>
      </c>
      <c r="L71">
        <v>457.31459855409912</v>
      </c>
      <c r="M71">
        <v>118.74735434973491</v>
      </c>
      <c r="N71">
        <v>63</v>
      </c>
      <c r="O71" t="s">
        <v>92</v>
      </c>
      <c r="P71" s="2">
        <v>0.36</v>
      </c>
      <c r="Q71" s="3">
        <v>10000000</v>
      </c>
      <c r="R71" s="2">
        <v>250</v>
      </c>
      <c r="S71">
        <v>6.7</v>
      </c>
      <c r="T71">
        <v>25</v>
      </c>
      <c r="U71">
        <v>1.620991855732903E-2</v>
      </c>
      <c r="V71">
        <v>-0.8480055217201663</v>
      </c>
      <c r="W71">
        <v>3.820318639985837E-3</v>
      </c>
      <c r="X71">
        <v>0.1437051646042917</v>
      </c>
    </row>
    <row r="72" spans="1:24" x14ac:dyDescent="0.45">
      <c r="A72" t="s">
        <v>65</v>
      </c>
      <c r="B72">
        <v>82946</v>
      </c>
      <c r="C72">
        <v>117.3797256769669</v>
      </c>
      <c r="D72">
        <v>6.2341316858496951E-4</v>
      </c>
      <c r="E72">
        <v>2.351969582605802E-4</v>
      </c>
      <c r="F72">
        <v>1.0301505863539441E-5</v>
      </c>
      <c r="G72">
        <v>1.073584632688621E-6</v>
      </c>
      <c r="H72">
        <v>5.100000000000005</v>
      </c>
      <c r="I72">
        <v>0.93338095116623609</v>
      </c>
      <c r="J72">
        <v>5.9350000000000005</v>
      </c>
      <c r="K72">
        <v>7.0710678118659524E-3</v>
      </c>
      <c r="L72">
        <v>454.01718388535619</v>
      </c>
      <c r="M72">
        <v>165.09045198279031</v>
      </c>
      <c r="N72">
        <v>112</v>
      </c>
      <c r="O72" t="s">
        <v>92</v>
      </c>
      <c r="P72" s="2">
        <v>0.36</v>
      </c>
      <c r="Q72" s="3">
        <v>10000000</v>
      </c>
      <c r="R72" s="2">
        <v>250</v>
      </c>
      <c r="S72">
        <v>6.7</v>
      </c>
      <c r="T72">
        <v>25</v>
      </c>
      <c r="U72">
        <v>8.2866897021494162E-2</v>
      </c>
      <c r="V72">
        <v>-0.92748995203703211</v>
      </c>
      <c r="W72">
        <v>4.9685346234601083E-3</v>
      </c>
      <c r="X72">
        <v>1.607038898141195E-2</v>
      </c>
    </row>
    <row r="73" spans="1:24" x14ac:dyDescent="0.45">
      <c r="A73" t="s">
        <v>66</v>
      </c>
      <c r="B73">
        <v>113722</v>
      </c>
      <c r="C73">
        <v>2394.2635610976499</v>
      </c>
      <c r="D73">
        <v>1.122753751974724E-3</v>
      </c>
      <c r="E73">
        <v>4.3127264358815398E-4</v>
      </c>
      <c r="F73">
        <v>1.1260494402985069E-5</v>
      </c>
      <c r="G73">
        <v>4.675427222361938E-7</v>
      </c>
      <c r="H73">
        <v>7.73</v>
      </c>
      <c r="I73">
        <v>2.0788939366884591</v>
      </c>
      <c r="J73">
        <v>5.88</v>
      </c>
      <c r="K73">
        <v>7.0710678118654502E-2</v>
      </c>
      <c r="L73">
        <v>304.97245921249697</v>
      </c>
      <c r="M73">
        <v>183.18706652830559</v>
      </c>
      <c r="N73">
        <v>159</v>
      </c>
      <c r="O73" t="s">
        <v>92</v>
      </c>
      <c r="P73" s="2">
        <v>0.36</v>
      </c>
      <c r="Q73" s="3">
        <v>10000000</v>
      </c>
      <c r="R73" s="2">
        <v>250</v>
      </c>
      <c r="S73">
        <v>6.7</v>
      </c>
      <c r="T73">
        <v>25</v>
      </c>
      <c r="U73">
        <v>7.8333742478064877E-2</v>
      </c>
      <c r="V73">
        <v>-0.88668783614277191</v>
      </c>
      <c r="W73">
        <v>3.4248440272871591E-2</v>
      </c>
      <c r="X73">
        <v>0.2207869051120438</v>
      </c>
    </row>
    <row r="74" spans="1:24" x14ac:dyDescent="0.45">
      <c r="A74" t="s">
        <v>67</v>
      </c>
      <c r="B74">
        <v>70829</v>
      </c>
      <c r="C74">
        <v>3174.9094475275979</v>
      </c>
      <c r="D74">
        <v>-4.6899684044233802E-6</v>
      </c>
      <c r="E74">
        <v>4.84279069529331E-6</v>
      </c>
      <c r="F74">
        <v>1.4092484008528779E-6</v>
      </c>
      <c r="G74">
        <v>9.8136981778994375E-8</v>
      </c>
      <c r="H74">
        <v>4.830000000000001</v>
      </c>
      <c r="I74">
        <v>0.26870057685088988</v>
      </c>
      <c r="J74">
        <v>6</v>
      </c>
      <c r="K74">
        <v>2.8284271247461298E-2</v>
      </c>
      <c r="L74">
        <v>191.27240595271039</v>
      </c>
      <c r="M74">
        <v>44.876199618407</v>
      </c>
      <c r="N74">
        <v>63</v>
      </c>
      <c r="O74" t="s">
        <v>93</v>
      </c>
      <c r="P74" s="2">
        <v>1</v>
      </c>
      <c r="Q74" s="3">
        <v>100000000</v>
      </c>
      <c r="R74" s="2">
        <v>250</v>
      </c>
      <c r="S74">
        <v>6.7</v>
      </c>
      <c r="T74">
        <v>25</v>
      </c>
      <c r="U74">
        <v>2.4463995082356971E-2</v>
      </c>
      <c r="V74">
        <v>-0.99798110236994797</v>
      </c>
      <c r="W74">
        <v>7.3386040826578496E-3</v>
      </c>
      <c r="X74">
        <v>8.710629087768483E-2</v>
      </c>
    </row>
    <row r="75" spans="1:24" x14ac:dyDescent="0.45">
      <c r="A75" t="s">
        <v>68</v>
      </c>
      <c r="B75">
        <v>63760</v>
      </c>
      <c r="C75">
        <v>2886.4098808034869</v>
      </c>
      <c r="D75">
        <v>1.271404592642744E-4</v>
      </c>
      <c r="E75">
        <v>2.0035005203230002E-5</v>
      </c>
      <c r="F75">
        <v>8.4459954690831546E-6</v>
      </c>
      <c r="G75">
        <v>4.7683657397951751E-7</v>
      </c>
      <c r="H75">
        <v>6.5100000000000016</v>
      </c>
      <c r="I75">
        <v>0.3252691193458106</v>
      </c>
      <c r="J75">
        <v>5.9350000000000005</v>
      </c>
      <c r="K75">
        <v>7.0710678118659524E-3</v>
      </c>
      <c r="L75">
        <v>211.19500604480939</v>
      </c>
      <c r="M75">
        <v>42.285401434049852</v>
      </c>
      <c r="N75">
        <v>112</v>
      </c>
      <c r="O75" t="s">
        <v>93</v>
      </c>
      <c r="P75" s="2">
        <v>1</v>
      </c>
      <c r="Q75" s="3">
        <v>100000000</v>
      </c>
      <c r="R75" s="2">
        <v>250</v>
      </c>
      <c r="S75">
        <v>6.7</v>
      </c>
      <c r="T75">
        <v>25</v>
      </c>
      <c r="U75">
        <v>2.4163985521916519E-2</v>
      </c>
      <c r="V75">
        <v>-0.92831040127230247</v>
      </c>
      <c r="W75">
        <v>3.1237986367480789E-3</v>
      </c>
      <c r="X75">
        <v>3.591782419399885E-3</v>
      </c>
    </row>
    <row r="76" spans="1:24" x14ac:dyDescent="0.45">
      <c r="A76" t="s">
        <v>69</v>
      </c>
      <c r="B76">
        <v>91135</v>
      </c>
      <c r="C76">
        <v>4160.616300501646</v>
      </c>
      <c r="D76">
        <v>2.2407822726246899E-4</v>
      </c>
      <c r="E76">
        <v>4.7221111426732547E-5</v>
      </c>
      <c r="F76">
        <v>1.0295009328358211E-5</v>
      </c>
      <c r="G76">
        <v>4.8340647056503669E-7</v>
      </c>
      <c r="H76">
        <v>8.0100000000000033</v>
      </c>
      <c r="I76">
        <v>1.5132085117392162</v>
      </c>
      <c r="J76">
        <v>5.88</v>
      </c>
      <c r="K76">
        <v>7.0710678118654502E-2</v>
      </c>
      <c r="L76">
        <v>235.75393997195121</v>
      </c>
      <c r="M76">
        <v>60.967291090004217</v>
      </c>
      <c r="N76">
        <v>159</v>
      </c>
      <c r="O76" t="s">
        <v>93</v>
      </c>
      <c r="P76" s="2">
        <v>1</v>
      </c>
      <c r="Q76" s="3">
        <v>100000000</v>
      </c>
      <c r="R76" s="2">
        <v>250</v>
      </c>
      <c r="S76">
        <v>6.7</v>
      </c>
      <c r="T76">
        <v>25</v>
      </c>
      <c r="U76">
        <v>5.8192145269455507E-2</v>
      </c>
      <c r="V76">
        <v>-1.0354569337081569</v>
      </c>
      <c r="W76">
        <v>2.9019747682836241E-2</v>
      </c>
      <c r="X76">
        <v>2.555744045971238E-2</v>
      </c>
    </row>
    <row r="77" spans="1:24" x14ac:dyDescent="0.45">
      <c r="A77" t="s">
        <v>70</v>
      </c>
      <c r="B77">
        <v>663</v>
      </c>
      <c r="C77">
        <v>125.8650070512055</v>
      </c>
      <c r="D77">
        <v>-6.082853757616787E-6</v>
      </c>
      <c r="E77">
        <v>4.1702782973144509E-6</v>
      </c>
      <c r="F77">
        <v>-1.0774253731343281E-6</v>
      </c>
      <c r="G77">
        <v>4.3585403659013618E-8</v>
      </c>
      <c r="H77">
        <v>0.25000000000000022</v>
      </c>
      <c r="I77">
        <v>0.38183766184073287</v>
      </c>
      <c r="J77">
        <v>6</v>
      </c>
      <c r="K77">
        <v>2.8284271247461298E-2</v>
      </c>
      <c r="L77">
        <v>164.25018756638471</v>
      </c>
      <c r="M77">
        <v>64.136214535343683</v>
      </c>
      <c r="N77">
        <v>66</v>
      </c>
      <c r="O77" t="s">
        <v>94</v>
      </c>
      <c r="P77" s="2">
        <v>1.75</v>
      </c>
      <c r="Q77" s="3">
        <v>1000000</v>
      </c>
      <c r="R77" s="2">
        <v>250</v>
      </c>
      <c r="S77">
        <v>6.7</v>
      </c>
      <c r="T77">
        <v>25</v>
      </c>
    </row>
    <row r="78" spans="1:24" x14ac:dyDescent="0.45">
      <c r="A78" t="s">
        <v>71</v>
      </c>
      <c r="B78">
        <v>4537</v>
      </c>
      <c r="C78">
        <v>0</v>
      </c>
      <c r="D78">
        <v>7.4052132701421926E-7</v>
      </c>
      <c r="E78">
        <v>6.8970041454630614E-6</v>
      </c>
      <c r="F78">
        <v>3.2882462686567159E-7</v>
      </c>
      <c r="G78">
        <v>5.9968017057568391E-9</v>
      </c>
      <c r="H78">
        <v>1.7199999999999993</v>
      </c>
      <c r="I78">
        <v>0</v>
      </c>
      <c r="J78">
        <v>5.85</v>
      </c>
      <c r="K78">
        <v>0</v>
      </c>
      <c r="L78">
        <v>303.09290226458052</v>
      </c>
      <c r="M78">
        <v>114.3259172694229</v>
      </c>
      <c r="N78">
        <v>115</v>
      </c>
      <c r="O78" t="s">
        <v>94</v>
      </c>
      <c r="P78" s="2">
        <v>1.75</v>
      </c>
      <c r="Q78" s="3">
        <v>1000000</v>
      </c>
      <c r="R78" s="2">
        <v>250</v>
      </c>
      <c r="S78">
        <v>6.7</v>
      </c>
      <c r="T78">
        <v>25</v>
      </c>
      <c r="U78">
        <v>4.9670232899404537E-3</v>
      </c>
      <c r="V78">
        <v>-0.52228521855597487</v>
      </c>
      <c r="W78">
        <v>3.075499043600625E-3</v>
      </c>
      <c r="X78">
        <v>0.15864205912609189</v>
      </c>
    </row>
    <row r="79" spans="1:24" x14ac:dyDescent="0.45">
      <c r="A79" t="s">
        <v>72</v>
      </c>
      <c r="B79">
        <v>9131</v>
      </c>
      <c r="C79">
        <v>7305.8272632194094</v>
      </c>
      <c r="D79">
        <v>-5.9946964567817651E-6</v>
      </c>
      <c r="E79">
        <v>5.9994950346201038E-6</v>
      </c>
      <c r="F79">
        <v>3.6680437100213209E-7</v>
      </c>
      <c r="G79">
        <v>2.9369463719561831E-7</v>
      </c>
      <c r="H79">
        <v>3.1700000000000008</v>
      </c>
      <c r="I79">
        <v>1.7960512242138287</v>
      </c>
      <c r="J79">
        <v>5.81</v>
      </c>
      <c r="K79">
        <v>0</v>
      </c>
      <c r="L79">
        <v>234.64896710301241</v>
      </c>
      <c r="M79">
        <v>133.87072547986989</v>
      </c>
      <c r="N79">
        <v>163</v>
      </c>
      <c r="O79" t="s">
        <v>94</v>
      </c>
      <c r="P79" s="2">
        <v>1.75</v>
      </c>
      <c r="Q79" s="3">
        <v>1000000</v>
      </c>
      <c r="R79" s="2">
        <v>250</v>
      </c>
      <c r="S79">
        <v>6.7</v>
      </c>
      <c r="T79">
        <v>25</v>
      </c>
      <c r="U79">
        <v>1.764175340954979E-2</v>
      </c>
      <c r="V79">
        <v>-0.72074822021007412</v>
      </c>
      <c r="W79">
        <v>1.0246575670996809E-2</v>
      </c>
      <c r="X79">
        <v>0.21495371397494151</v>
      </c>
    </row>
    <row r="80" spans="1:24" x14ac:dyDescent="0.45">
      <c r="A80" t="s">
        <v>73</v>
      </c>
      <c r="B80">
        <v>69052</v>
      </c>
      <c r="C80">
        <v>3722.2100961659862</v>
      </c>
      <c r="D80">
        <v>2.0297336944256371E-4</v>
      </c>
      <c r="E80">
        <v>8.5648524228520189E-5</v>
      </c>
      <c r="F80">
        <v>8.8532782515991449E-6</v>
      </c>
      <c r="G80">
        <v>1.344177365720076E-6</v>
      </c>
      <c r="H80">
        <v>6.8700000000000037</v>
      </c>
      <c r="I80">
        <v>0.41012193308819889</v>
      </c>
      <c r="J80">
        <v>6.665</v>
      </c>
      <c r="K80">
        <v>7.0710678118653244E-3</v>
      </c>
      <c r="L80">
        <v>198.99527438047241</v>
      </c>
      <c r="M80">
        <v>39.720059402689017</v>
      </c>
      <c r="N80">
        <v>66</v>
      </c>
      <c r="O80" t="s">
        <v>95</v>
      </c>
      <c r="P80">
        <v>0.36</v>
      </c>
      <c r="Q80" s="4">
        <f>10^8</f>
        <v>100000000</v>
      </c>
      <c r="R80">
        <v>250</v>
      </c>
      <c r="S80">
        <v>6.7</v>
      </c>
      <c r="T80">
        <v>25</v>
      </c>
      <c r="U80">
        <v>1.3766739100463421E-2</v>
      </c>
      <c r="V80">
        <v>-0.84081093376434146</v>
      </c>
      <c r="W80">
        <v>2.0422169100187099E-4</v>
      </c>
      <c r="X80">
        <v>4.8171097147576723E-3</v>
      </c>
    </row>
    <row r="81" spans="1:33" x14ac:dyDescent="0.45">
      <c r="A81" t="s">
        <v>74</v>
      </c>
      <c r="B81">
        <v>89551</v>
      </c>
      <c r="C81">
        <v>4949.7474683058326</v>
      </c>
      <c r="D81">
        <v>3.4393689347777032E-4</v>
      </c>
      <c r="E81">
        <v>8.5731244985905677E-5</v>
      </c>
      <c r="F81">
        <v>1.173474147121535E-5</v>
      </c>
      <c r="G81">
        <v>2.3454318680999762E-6</v>
      </c>
      <c r="H81">
        <v>6.98</v>
      </c>
      <c r="I81">
        <v>0.33941125496954122</v>
      </c>
      <c r="J81">
        <v>6.6050000000000004</v>
      </c>
      <c r="K81">
        <v>7.7781745930520452E-2</v>
      </c>
      <c r="L81">
        <v>202.06649289672211</v>
      </c>
      <c r="M81">
        <v>61.275560135905749</v>
      </c>
      <c r="N81">
        <v>115</v>
      </c>
      <c r="O81" t="s">
        <v>95</v>
      </c>
      <c r="P81">
        <v>0.36</v>
      </c>
      <c r="Q81" s="4">
        <f>10^8</f>
        <v>100000000</v>
      </c>
      <c r="R81">
        <v>250</v>
      </c>
      <c r="S81">
        <v>6.7</v>
      </c>
      <c r="T81">
        <v>25</v>
      </c>
      <c r="U81">
        <v>1.8100894960566698E-2</v>
      </c>
      <c r="V81">
        <v>-0.89683440621856381</v>
      </c>
      <c r="W81">
        <v>2.792299502972499E-3</v>
      </c>
      <c r="X81">
        <v>2.2802479671179619E-2</v>
      </c>
      <c r="AG81" s="4"/>
    </row>
    <row r="82" spans="1:33" x14ac:dyDescent="0.45">
      <c r="A82" t="s">
        <v>75</v>
      </c>
      <c r="B82">
        <v>105115</v>
      </c>
      <c r="C82">
        <v>8318.4041738785454</v>
      </c>
      <c r="D82">
        <v>3.6807436244640029E-4</v>
      </c>
      <c r="E82">
        <v>1.451491414539752E-4</v>
      </c>
      <c r="F82">
        <v>7.6334288379530899E-6</v>
      </c>
      <c r="G82">
        <v>1.226017229208856E-6</v>
      </c>
      <c r="H82">
        <v>7.3800000000000026</v>
      </c>
      <c r="I82">
        <v>1.4142135623731</v>
      </c>
      <c r="J82">
        <v>6.4550000000000001</v>
      </c>
      <c r="K82">
        <v>0.2050609665440988</v>
      </c>
      <c r="L82">
        <v>186.02328807894551</v>
      </c>
      <c r="M82">
        <v>37.550292713495963</v>
      </c>
      <c r="N82">
        <v>163</v>
      </c>
      <c r="O82" t="s">
        <v>95</v>
      </c>
      <c r="P82">
        <v>0.36</v>
      </c>
      <c r="Q82" s="4">
        <f>10^8</f>
        <v>100000000</v>
      </c>
      <c r="R82">
        <v>250</v>
      </c>
      <c r="S82">
        <v>6.7</v>
      </c>
      <c r="T82">
        <v>25</v>
      </c>
      <c r="U82">
        <v>2.2135645215949198E-2</v>
      </c>
      <c r="V82">
        <v>-0.99861002321509584</v>
      </c>
      <c r="W82">
        <v>7.0271698834188379E-3</v>
      </c>
      <c r="X82">
        <v>4.7246913595028979E-2</v>
      </c>
    </row>
    <row r="83" spans="1:33" x14ac:dyDescent="0.45">
      <c r="A83" t="s">
        <v>76</v>
      </c>
      <c r="B83">
        <v>43898</v>
      </c>
      <c r="C83">
        <v>6659.5316652149049</v>
      </c>
      <c r="D83">
        <v>-8.85099300383661E-6</v>
      </c>
      <c r="E83">
        <v>4.0844144198742584E-6</v>
      </c>
      <c r="F83">
        <v>3.7130197228144989E-7</v>
      </c>
      <c r="G83">
        <v>1.0651442937807759E-7</v>
      </c>
      <c r="H83">
        <v>8.09</v>
      </c>
      <c r="I83">
        <v>7.071067811865199E-2</v>
      </c>
      <c r="J83">
        <v>5.915</v>
      </c>
      <c r="K83">
        <v>7.7781745930519827E-2</v>
      </c>
      <c r="L83">
        <v>106.0609350612453</v>
      </c>
      <c r="M83">
        <v>21.55816456664542</v>
      </c>
      <c r="N83">
        <v>65</v>
      </c>
      <c r="O83" t="s">
        <v>96</v>
      </c>
      <c r="P83">
        <v>1.75</v>
      </c>
      <c r="Q83" s="4">
        <f>10^8</f>
        <v>100000000</v>
      </c>
      <c r="R83">
        <v>300</v>
      </c>
      <c r="S83">
        <v>6.7</v>
      </c>
      <c r="T83">
        <v>25</v>
      </c>
      <c r="U83">
        <v>3.2314166391902259E-2</v>
      </c>
      <c r="V83">
        <v>-0.99242826530289052</v>
      </c>
      <c r="W83">
        <v>5.6724708405209781E-3</v>
      </c>
      <c r="X83">
        <v>2.9481012890339241E-2</v>
      </c>
    </row>
    <row r="84" spans="1:33" x14ac:dyDescent="0.45">
      <c r="A84" t="s">
        <v>77</v>
      </c>
      <c r="B84">
        <v>67400</v>
      </c>
      <c r="C84">
        <v>330.92597359530419</v>
      </c>
      <c r="D84">
        <v>1.211986571879937E-4</v>
      </c>
      <c r="E84">
        <v>2.2294931832168411E-5</v>
      </c>
      <c r="F84">
        <v>4.1577825159914703E-6</v>
      </c>
      <c r="G84">
        <v>1.1177700112145971E-7</v>
      </c>
      <c r="H84">
        <v>8.0900000000000034</v>
      </c>
      <c r="I84">
        <v>0.24041630560342228</v>
      </c>
      <c r="J84">
        <v>5.82</v>
      </c>
      <c r="K84">
        <v>5.6568542494923851E-2</v>
      </c>
      <c r="L84">
        <v>115.1879407131368</v>
      </c>
      <c r="M84">
        <v>28.02752630904865</v>
      </c>
      <c r="N84">
        <v>113</v>
      </c>
      <c r="O84" t="s">
        <v>96</v>
      </c>
      <c r="P84">
        <v>1.75</v>
      </c>
      <c r="Q84" s="4">
        <f t="shared" ref="Q84:Q85" si="0">10^8</f>
        <v>100000000</v>
      </c>
      <c r="R84">
        <v>300</v>
      </c>
      <c r="S84">
        <v>6.7</v>
      </c>
      <c r="T84">
        <v>25</v>
      </c>
      <c r="U84">
        <v>5.2156434249946752E-2</v>
      </c>
      <c r="V84">
        <v>-1.0162955847942099</v>
      </c>
      <c r="W84">
        <v>1.263389830701965E-2</v>
      </c>
      <c r="X84">
        <v>2.4592910677819942E-2</v>
      </c>
    </row>
    <row r="85" spans="1:33" x14ac:dyDescent="0.45">
      <c r="A85" t="s">
        <v>78</v>
      </c>
      <c r="B85">
        <v>83855</v>
      </c>
      <c r="C85">
        <v>1480.68159980463</v>
      </c>
      <c r="D85">
        <v>2.0493046152110129E-4</v>
      </c>
      <c r="E85">
        <v>4.1124829160922032E-5</v>
      </c>
      <c r="F85">
        <v>6.2411713752665237E-6</v>
      </c>
      <c r="G85">
        <v>3.6261115925111452E-7</v>
      </c>
      <c r="H85">
        <v>9.9699999999999989</v>
      </c>
      <c r="I85">
        <v>1.9091883092036661</v>
      </c>
      <c r="J85">
        <v>5.9849999999999994</v>
      </c>
      <c r="K85">
        <v>4.9497474683057895E-2</v>
      </c>
      <c r="L85">
        <v>113.8359089056934</v>
      </c>
      <c r="M85">
        <v>24.812060208123341</v>
      </c>
      <c r="N85">
        <v>161</v>
      </c>
      <c r="O85" t="s">
        <v>96</v>
      </c>
      <c r="P85">
        <v>1.75</v>
      </c>
      <c r="Q85" s="4">
        <f t="shared" si="0"/>
        <v>100000000</v>
      </c>
      <c r="R85">
        <v>300</v>
      </c>
      <c r="S85">
        <v>6.7</v>
      </c>
      <c r="T85">
        <v>25</v>
      </c>
      <c r="U85">
        <v>6.3292271991522667E-2</v>
      </c>
      <c r="V85">
        <v>-1.0127060423824601</v>
      </c>
      <c r="W85">
        <v>7.7520423860259931E-3</v>
      </c>
      <c r="X85">
        <v>1.8775511084960519E-2</v>
      </c>
    </row>
    <row r="86" spans="1:33" x14ac:dyDescent="0.45">
      <c r="A86" t="s">
        <v>79</v>
      </c>
      <c r="B86">
        <v>7546</v>
      </c>
      <c r="C86">
        <v>374.7665940288702</v>
      </c>
      <c r="D86">
        <v>1.493384676145339E-5</v>
      </c>
      <c r="E86">
        <v>6.6040586997415733E-6</v>
      </c>
      <c r="F86">
        <v>9.5049307036247314E-7</v>
      </c>
      <c r="G86">
        <v>6.3491161238429886E-8</v>
      </c>
      <c r="H86">
        <v>1.2200000000000015</v>
      </c>
      <c r="I86">
        <v>5.6568542494921499E-2</v>
      </c>
      <c r="J86">
        <v>6.63</v>
      </c>
      <c r="K86">
        <v>0</v>
      </c>
      <c r="L86">
        <v>497.20378522099332</v>
      </c>
      <c r="M86">
        <v>152.70749202697871</v>
      </c>
      <c r="N86">
        <v>65</v>
      </c>
      <c r="O86" t="s">
        <v>97</v>
      </c>
      <c r="P86">
        <v>0.36</v>
      </c>
      <c r="Q86" s="4">
        <f>10^6</f>
        <v>1000000</v>
      </c>
      <c r="R86">
        <v>300</v>
      </c>
      <c r="S86">
        <v>6.7</v>
      </c>
      <c r="T86">
        <v>25</v>
      </c>
      <c r="U86">
        <v>7.6229868883803502E-3</v>
      </c>
      <c r="V86">
        <v>-0.73768150013871292</v>
      </c>
      <c r="W86">
        <v>3.9550654917249823E-4</v>
      </c>
      <c r="X86">
        <v>3.4936618595385181E-2</v>
      </c>
    </row>
    <row r="87" spans="1:33" x14ac:dyDescent="0.45">
      <c r="A87" t="s">
        <v>80</v>
      </c>
      <c r="B87">
        <v>40000</v>
      </c>
      <c r="C87">
        <v>2831.255551870936</v>
      </c>
      <c r="D87">
        <v>6.7449150868878352E-4</v>
      </c>
      <c r="E87">
        <v>3.1561656925891741E-4</v>
      </c>
      <c r="F87">
        <v>6.0157915778251586E-6</v>
      </c>
      <c r="G87">
        <v>7.4899648243238755E-7</v>
      </c>
      <c r="H87">
        <v>3.2899999999999983</v>
      </c>
      <c r="I87">
        <v>1.060660171779823</v>
      </c>
      <c r="J87">
        <v>6.07</v>
      </c>
      <c r="K87">
        <v>5.6568542494923851E-2</v>
      </c>
      <c r="L87">
        <v>400.87932973587567</v>
      </c>
      <c r="M87">
        <v>258.78106553727957</v>
      </c>
      <c r="N87">
        <v>113</v>
      </c>
      <c r="O87" t="s">
        <v>97</v>
      </c>
      <c r="P87">
        <v>0.36</v>
      </c>
      <c r="Q87" s="4">
        <f t="shared" ref="Q87:Q88" si="1">10^6</f>
        <v>1000000</v>
      </c>
      <c r="R87">
        <v>300</v>
      </c>
      <c r="S87">
        <v>6.7</v>
      </c>
      <c r="T87">
        <v>25</v>
      </c>
      <c r="U87">
        <v>2.680755483600852E-2</v>
      </c>
      <c r="V87">
        <v>-0.67010222277134224</v>
      </c>
      <c r="W87">
        <v>8.9656195328761956E-3</v>
      </c>
      <c r="X87">
        <v>5.6433227764221612E-2</v>
      </c>
    </row>
    <row r="88" spans="1:33" x14ac:dyDescent="0.45">
      <c r="A88" t="s">
        <v>81</v>
      </c>
      <c r="B88">
        <v>56093.125</v>
      </c>
      <c r="C88">
        <v>3348.4659360668429</v>
      </c>
      <c r="D88">
        <v>1.0382285319341E-3</v>
      </c>
      <c r="E88">
        <v>2.0400014172473191E-4</v>
      </c>
      <c r="F88">
        <v>7.0732276119402978E-6</v>
      </c>
      <c r="G88">
        <v>5.1492061374589992E-7</v>
      </c>
      <c r="H88">
        <v>6.5200000000000031</v>
      </c>
      <c r="I88">
        <v>0</v>
      </c>
      <c r="J88">
        <v>5.5549999999999997</v>
      </c>
      <c r="K88">
        <v>4.9497474683058526E-2</v>
      </c>
      <c r="L88">
        <v>176.9150951578707</v>
      </c>
      <c r="M88">
        <v>165.53001904710749</v>
      </c>
      <c r="N88">
        <v>161</v>
      </c>
      <c r="O88" t="s">
        <v>97</v>
      </c>
      <c r="P88">
        <v>0.36</v>
      </c>
      <c r="Q88" s="4">
        <f t="shared" si="1"/>
        <v>1000000</v>
      </c>
      <c r="R88">
        <v>300</v>
      </c>
      <c r="S88">
        <v>6.7</v>
      </c>
      <c r="T88">
        <v>25</v>
      </c>
      <c r="U88">
        <v>6.1517775301062262E-2</v>
      </c>
      <c r="V88">
        <v>-0.69506844791923084</v>
      </c>
      <c r="W88">
        <v>5.3954426330019033E-2</v>
      </c>
      <c r="X88">
        <v>0.26153422728483899</v>
      </c>
    </row>
    <row r="89" spans="1:33" x14ac:dyDescent="0.45">
      <c r="A89" t="s">
        <v>82</v>
      </c>
      <c r="B89">
        <v>3021</v>
      </c>
      <c r="C89">
        <v>1409.970921685976</v>
      </c>
      <c r="D89">
        <v>5.4886735499887153E-5</v>
      </c>
      <c r="E89">
        <v>2.8664469196956752E-6</v>
      </c>
      <c r="F89">
        <v>1.998933901918972E-8</v>
      </c>
      <c r="G89">
        <v>1.4335097926451949E-8</v>
      </c>
      <c r="H89">
        <v>0.97000000000000142</v>
      </c>
      <c r="I89">
        <v>7.0710678118650894E-2</v>
      </c>
      <c r="J89">
        <v>6.5350000000000001</v>
      </c>
      <c r="K89">
        <v>6.3639610306789177E-2</v>
      </c>
      <c r="L89">
        <v>238.0670414601459</v>
      </c>
      <c r="M89">
        <v>94.896602429406443</v>
      </c>
      <c r="N89">
        <v>64</v>
      </c>
      <c r="O89" t="s">
        <v>98</v>
      </c>
      <c r="P89">
        <v>1.75</v>
      </c>
      <c r="Q89" s="4">
        <f>10^7</f>
        <v>10000000</v>
      </c>
      <c r="R89">
        <v>250</v>
      </c>
      <c r="S89">
        <v>6.7</v>
      </c>
      <c r="T89">
        <v>25</v>
      </c>
      <c r="U89">
        <v>1.72354914065791E-3</v>
      </c>
      <c r="V89">
        <v>-0.1223385531357282</v>
      </c>
      <c r="W89">
        <v>1.2825871179517989E-3</v>
      </c>
      <c r="X89">
        <v>0.22937431889222981</v>
      </c>
    </row>
    <row r="90" spans="1:33" x14ac:dyDescent="0.45">
      <c r="A90" t="s">
        <v>102</v>
      </c>
      <c r="B90">
        <v>10884.5</v>
      </c>
      <c r="C90">
        <v>554.47362425998222</v>
      </c>
      <c r="D90">
        <v>3.7026066350710958E-7</v>
      </c>
      <c r="E90">
        <v>1.904290983900574E-6</v>
      </c>
      <c r="F90">
        <v>3.857942430703625E-7</v>
      </c>
      <c r="G90">
        <v>6.3894454481938767E-8</v>
      </c>
      <c r="H90">
        <v>2.3899999999999979</v>
      </c>
      <c r="I90">
        <v>0.29698484809834863</v>
      </c>
      <c r="J90">
        <v>6.3550000000000004</v>
      </c>
      <c r="K90">
        <v>2.12132034355966E-2</v>
      </c>
      <c r="L90">
        <v>246.83751522984659</v>
      </c>
      <c r="M90">
        <v>77.23019660995395</v>
      </c>
      <c r="N90">
        <v>114</v>
      </c>
      <c r="O90" t="s">
        <v>98</v>
      </c>
      <c r="P90">
        <v>1.75</v>
      </c>
      <c r="Q90" s="4">
        <f t="shared" ref="Q90:Q91" si="2">10^7</f>
        <v>10000000</v>
      </c>
      <c r="R90">
        <v>250</v>
      </c>
      <c r="S90">
        <v>6.7</v>
      </c>
      <c r="T90">
        <v>25</v>
      </c>
      <c r="U90">
        <v>1.3478756514176691E-2</v>
      </c>
      <c r="V90">
        <v>-0.70593481937792768</v>
      </c>
      <c r="W90">
        <v>9.4167883948191415E-4</v>
      </c>
      <c r="X90">
        <v>3.8992059275796687E-2</v>
      </c>
    </row>
    <row r="91" spans="1:33" x14ac:dyDescent="0.45">
      <c r="A91" t="s">
        <v>103</v>
      </c>
      <c r="B91">
        <v>23440</v>
      </c>
      <c r="C91">
        <v>13023.115013953709</v>
      </c>
      <c r="D91">
        <v>1.100732058226134E-4</v>
      </c>
      <c r="E91">
        <v>1.162600323913156E-4</v>
      </c>
      <c r="F91">
        <v>-5.2272121535181225E-7</v>
      </c>
      <c r="G91">
        <v>7.7637419320116416E-7</v>
      </c>
      <c r="H91">
        <v>4.51</v>
      </c>
      <c r="I91">
        <v>1.230365799264594</v>
      </c>
      <c r="J91">
        <v>6.125</v>
      </c>
      <c r="K91">
        <v>0.27577164466275395</v>
      </c>
      <c r="N91">
        <v>162</v>
      </c>
      <c r="O91" t="s">
        <v>98</v>
      </c>
      <c r="P91">
        <v>1.75</v>
      </c>
      <c r="Q91" s="4">
        <f t="shared" si="2"/>
        <v>10000000</v>
      </c>
      <c r="R91">
        <v>250</v>
      </c>
      <c r="S91">
        <v>6.7</v>
      </c>
      <c r="T91">
        <v>25</v>
      </c>
      <c r="U91">
        <v>2.3503375286255769E-2</v>
      </c>
      <c r="V91">
        <v>-0.87062198012607195</v>
      </c>
      <c r="W91">
        <v>1.462709300844498E-2</v>
      </c>
      <c r="X91">
        <v>0.15695819593249721</v>
      </c>
    </row>
    <row r="92" spans="1:33" x14ac:dyDescent="0.45">
      <c r="A92" t="s">
        <v>83</v>
      </c>
      <c r="B92">
        <v>5967</v>
      </c>
      <c r="C92">
        <v>151.3208511739212</v>
      </c>
      <c r="D92">
        <v>1.463411193861431E-5</v>
      </c>
      <c r="E92">
        <v>2.3875173460735709E-5</v>
      </c>
      <c r="F92">
        <v>3.1882995735607672E-7</v>
      </c>
      <c r="G92">
        <v>2.1342773691427259E-8</v>
      </c>
      <c r="H92">
        <v>-0.20999999999999908</v>
      </c>
      <c r="I92">
        <v>0.12727922061358027</v>
      </c>
      <c r="J92">
        <v>6.55</v>
      </c>
      <c r="K92">
        <v>1.4142135623730649E-2</v>
      </c>
      <c r="L92">
        <v>452.8366521909187</v>
      </c>
      <c r="M92">
        <v>139.58283009403061</v>
      </c>
      <c r="N92">
        <v>64</v>
      </c>
      <c r="O92" t="s">
        <v>99</v>
      </c>
      <c r="P92">
        <v>1</v>
      </c>
      <c r="Q92" s="4">
        <f>10^6</f>
        <v>1000000</v>
      </c>
      <c r="R92">
        <v>250</v>
      </c>
      <c r="S92">
        <v>6.7</v>
      </c>
      <c r="T92">
        <v>25</v>
      </c>
      <c r="U92">
        <v>2.637062822395769E-3</v>
      </c>
      <c r="V92">
        <v>-0.42768709246044051</v>
      </c>
      <c r="W92">
        <v>3.7957996931997222E-4</v>
      </c>
      <c r="X92">
        <v>1.2133399954506109E-2</v>
      </c>
    </row>
    <row r="93" spans="1:33" x14ac:dyDescent="0.45">
      <c r="A93" t="s">
        <v>104</v>
      </c>
      <c r="B93">
        <v>9070</v>
      </c>
      <c r="C93">
        <v>1663.7992667386291</v>
      </c>
      <c r="D93">
        <v>2.235669149176258E-5</v>
      </c>
      <c r="E93">
        <v>3.3624949185543559E-6</v>
      </c>
      <c r="F93">
        <v>2.4696828358208951E-6</v>
      </c>
      <c r="G93">
        <v>1.5058677512684411E-7</v>
      </c>
      <c r="H93">
        <v>1.1400000000000021</v>
      </c>
      <c r="I93">
        <v>0.11313708498985084</v>
      </c>
      <c r="J93">
        <v>6.5350000000000001</v>
      </c>
      <c r="K93">
        <v>3.5355339059327251E-2</v>
      </c>
      <c r="L93">
        <v>628.90398616218772</v>
      </c>
      <c r="M93">
        <v>274.2519549778616</v>
      </c>
      <c r="N93">
        <v>114</v>
      </c>
      <c r="O93" t="s">
        <v>99</v>
      </c>
      <c r="P93">
        <v>1</v>
      </c>
      <c r="Q93" s="4">
        <f t="shared" ref="Q93:Q94" si="3">10^6</f>
        <v>1000000</v>
      </c>
      <c r="R93">
        <v>250</v>
      </c>
      <c r="S93">
        <v>6.7</v>
      </c>
      <c r="T93">
        <v>25</v>
      </c>
      <c r="U93">
        <v>1.0947998937411369E-2</v>
      </c>
      <c r="V93">
        <v>-0.73026095276078262</v>
      </c>
      <c r="W93">
        <v>2.39374521980663E-3</v>
      </c>
      <c r="X93">
        <v>7.4885540880676296E-2</v>
      </c>
    </row>
    <row r="94" spans="1:33" x14ac:dyDescent="0.45">
      <c r="A94" t="s">
        <v>105</v>
      </c>
      <c r="B94">
        <v>31584</v>
      </c>
      <c r="C94">
        <v>2429.976268745575</v>
      </c>
      <c r="D94">
        <v>9.3693579327465569E-5</v>
      </c>
      <c r="E94">
        <v>3.391093554405121E-5</v>
      </c>
      <c r="F94">
        <v>5.3671375266524506E-7</v>
      </c>
      <c r="G94">
        <v>3.320173593943413E-7</v>
      </c>
      <c r="H94">
        <v>4.2499999999999982</v>
      </c>
      <c r="I94">
        <v>1.0606601717798212</v>
      </c>
      <c r="J94">
        <v>6.19</v>
      </c>
      <c r="K94">
        <v>0</v>
      </c>
      <c r="L94">
        <v>270.30380567554528</v>
      </c>
      <c r="M94">
        <v>79.794242202333265</v>
      </c>
      <c r="N94">
        <v>162</v>
      </c>
      <c r="O94" t="s">
        <v>99</v>
      </c>
      <c r="P94">
        <v>1</v>
      </c>
      <c r="Q94" s="4">
        <f t="shared" si="3"/>
        <v>1000000</v>
      </c>
      <c r="R94">
        <v>250</v>
      </c>
      <c r="S94">
        <v>6.7</v>
      </c>
      <c r="T94">
        <v>25</v>
      </c>
      <c r="U94">
        <v>1.5301083995127781E-2</v>
      </c>
      <c r="V94">
        <v>-0.67857147280495622</v>
      </c>
      <c r="W94">
        <v>4.662119010976803E-3</v>
      </c>
      <c r="X94">
        <v>8.8097095145493576E-2</v>
      </c>
    </row>
    <row r="95" spans="1:33" x14ac:dyDescent="0.45">
      <c r="A95" t="s">
        <v>84</v>
      </c>
      <c r="B95">
        <v>40944</v>
      </c>
      <c r="C95">
        <v>6815.0951570759453</v>
      </c>
      <c r="D95">
        <v>1.7631460167006901E-8</v>
      </c>
      <c r="E95">
        <v>8.0301298586301335E-7</v>
      </c>
      <c r="F95">
        <v>5.876865671641791E-7</v>
      </c>
      <c r="G95">
        <v>2.377014952449977E-7</v>
      </c>
      <c r="H95">
        <v>3.0000000000000027</v>
      </c>
      <c r="I95">
        <v>0.62225396744416461</v>
      </c>
      <c r="J95">
        <v>6.16</v>
      </c>
      <c r="K95">
        <v>9.8994949366117052E-2</v>
      </c>
      <c r="N95">
        <v>65</v>
      </c>
      <c r="O95" t="s">
        <v>100</v>
      </c>
      <c r="P95">
        <v>1</v>
      </c>
      <c r="Q95" s="4">
        <f>10^8</f>
        <v>100000000</v>
      </c>
      <c r="R95">
        <v>150</v>
      </c>
      <c r="S95">
        <v>6.7</v>
      </c>
      <c r="T95">
        <v>25</v>
      </c>
      <c r="U95">
        <v>1.142924556665607E-2</v>
      </c>
      <c r="V95">
        <v>-0.75717152787039943</v>
      </c>
      <c r="W95">
        <v>6.3116284582560378E-3</v>
      </c>
      <c r="X95">
        <v>9.7927473432243478E-2</v>
      </c>
    </row>
    <row r="96" spans="1:33" x14ac:dyDescent="0.45">
      <c r="A96" t="s">
        <v>106</v>
      </c>
      <c r="B96">
        <v>49772</v>
      </c>
      <c r="C96">
        <v>2648.0247984740122</v>
      </c>
      <c r="D96">
        <v>1.0123984427894381E-4</v>
      </c>
      <c r="E96">
        <v>1.0804372017570639E-5</v>
      </c>
      <c r="F96">
        <v>5.8523787313432831E-6</v>
      </c>
      <c r="G96">
        <v>1.095766812130128E-6</v>
      </c>
      <c r="H96">
        <v>4.2300000000000004</v>
      </c>
      <c r="I96">
        <v>0.29698484809834863</v>
      </c>
      <c r="J96">
        <v>5.9250000000000007</v>
      </c>
      <c r="K96">
        <v>3.5355339059327251E-2</v>
      </c>
      <c r="L96">
        <v>307.81379688344492</v>
      </c>
      <c r="M96">
        <v>84.385847136478844</v>
      </c>
      <c r="N96">
        <v>113</v>
      </c>
      <c r="O96" t="s">
        <v>100</v>
      </c>
      <c r="P96">
        <v>1</v>
      </c>
      <c r="Q96" s="4">
        <f t="shared" ref="Q96:Q97" si="4">10^8</f>
        <v>100000000</v>
      </c>
      <c r="R96">
        <v>150</v>
      </c>
      <c r="S96">
        <v>6.7</v>
      </c>
      <c r="T96">
        <v>25</v>
      </c>
      <c r="U96">
        <v>2.811659703715743E-2</v>
      </c>
      <c r="V96">
        <v>-0.91598792728406531</v>
      </c>
      <c r="W96">
        <v>9.8185541798480967E-3</v>
      </c>
      <c r="X96">
        <v>0.1235872949659178</v>
      </c>
    </row>
    <row r="97" spans="1:24" x14ac:dyDescent="0.45">
      <c r="A97" t="s">
        <v>107</v>
      </c>
      <c r="B97">
        <v>60142.5</v>
      </c>
      <c r="C97">
        <v>3172.8521869132201</v>
      </c>
      <c r="D97">
        <v>3.2487728503723757E-4</v>
      </c>
      <c r="E97">
        <v>2.7447175390868682E-5</v>
      </c>
      <c r="F97">
        <v>7.1836687100213221E-6</v>
      </c>
      <c r="G97">
        <v>3.1879571493429522E-7</v>
      </c>
      <c r="H97">
        <v>6.0500000000000025</v>
      </c>
      <c r="I97">
        <v>0.38183766184073697</v>
      </c>
      <c r="J97">
        <v>5.77</v>
      </c>
      <c r="K97">
        <v>2.8284271247461926E-2</v>
      </c>
      <c r="L97">
        <v>206.18004625039319</v>
      </c>
      <c r="M97">
        <v>125.7070851298605</v>
      </c>
      <c r="N97">
        <v>161</v>
      </c>
      <c r="O97" t="s">
        <v>100</v>
      </c>
      <c r="P97">
        <v>1</v>
      </c>
      <c r="Q97" s="4">
        <f t="shared" si="4"/>
        <v>100000000</v>
      </c>
      <c r="R97">
        <v>150</v>
      </c>
      <c r="S97">
        <v>6.7</v>
      </c>
      <c r="T97">
        <v>25</v>
      </c>
      <c r="U97">
        <v>3.2816126439227163E-2</v>
      </c>
      <c r="V97">
        <v>-0.91905343203120293</v>
      </c>
      <c r="W97">
        <v>8.4922733997362437E-4</v>
      </c>
      <c r="X97">
        <v>2.6259551135495791E-2</v>
      </c>
    </row>
    <row r="98" spans="1:24" x14ac:dyDescent="0.45">
      <c r="A98" t="s">
        <v>85</v>
      </c>
      <c r="B98">
        <v>303</v>
      </c>
      <c r="C98">
        <v>101.8233764908628</v>
      </c>
      <c r="D98">
        <v>1.410516813360443E-7</v>
      </c>
      <c r="E98">
        <v>1.7681764007222099E-6</v>
      </c>
      <c r="F98">
        <v>-1.6141391257995731E-7</v>
      </c>
      <c r="G98">
        <v>2.0690931616742048E-9</v>
      </c>
      <c r="H98">
        <v>0.35999999999999921</v>
      </c>
      <c r="I98">
        <v>0.22627416997969391</v>
      </c>
      <c r="J98">
        <v>6.6050000000000004</v>
      </c>
      <c r="K98">
        <v>2.12132034355966E-2</v>
      </c>
      <c r="L98">
        <v>190.47564117770511</v>
      </c>
      <c r="M98">
        <v>79.608586191267619</v>
      </c>
      <c r="N98">
        <v>65</v>
      </c>
      <c r="O98" t="s">
        <v>101</v>
      </c>
      <c r="P98">
        <v>1.75</v>
      </c>
      <c r="Q98" s="4">
        <f>10^6</f>
        <v>1000000</v>
      </c>
      <c r="R98">
        <v>150</v>
      </c>
      <c r="S98">
        <v>6.7</v>
      </c>
      <c r="T98">
        <v>25</v>
      </c>
      <c r="U98">
        <v>4.9305963839319303E-4</v>
      </c>
      <c r="V98">
        <v>4.9294178926062207E-2</v>
      </c>
      <c r="W98">
        <v>3.5049311390665657E-4</v>
      </c>
      <c r="X98">
        <v>0.27009165865321683</v>
      </c>
    </row>
    <row r="99" spans="1:24" x14ac:dyDescent="0.45">
      <c r="A99" t="s">
        <v>108</v>
      </c>
      <c r="B99">
        <v>1660.5</v>
      </c>
      <c r="C99">
        <v>246.05487192900691</v>
      </c>
      <c r="D99">
        <v>1.798408937034529E-6</v>
      </c>
      <c r="E99">
        <v>2.136163067772322E-6</v>
      </c>
      <c r="F99">
        <v>2.2787846481876329E-7</v>
      </c>
      <c r="G99">
        <v>1.2848385481866719E-7</v>
      </c>
      <c r="H99">
        <v>0.70000000000000062</v>
      </c>
      <c r="I99">
        <v>0.65053823869162275</v>
      </c>
      <c r="J99">
        <v>6.5949999999999998</v>
      </c>
      <c r="K99">
        <v>7.0710678118653244E-3</v>
      </c>
      <c r="L99">
        <v>385.62763284362092</v>
      </c>
      <c r="M99">
        <v>133.98847841461469</v>
      </c>
      <c r="N99">
        <v>113</v>
      </c>
      <c r="O99" t="s">
        <v>101</v>
      </c>
      <c r="P99">
        <v>1.75</v>
      </c>
      <c r="Q99" s="4">
        <f t="shared" ref="Q99:Q100" si="5">10^6</f>
        <v>1000000</v>
      </c>
      <c r="R99">
        <v>150</v>
      </c>
      <c r="S99">
        <v>6.7</v>
      </c>
      <c r="T99">
        <v>25</v>
      </c>
      <c r="U99">
        <v>1.6638290793413719E-3</v>
      </c>
      <c r="V99">
        <v>-0.30407119374922431</v>
      </c>
      <c r="W99">
        <v>5.7662015830934059E-4</v>
      </c>
      <c r="X99">
        <v>8.0522400987618023E-2</v>
      </c>
    </row>
    <row r="100" spans="1:24" x14ac:dyDescent="0.45">
      <c r="A100" t="s">
        <v>109</v>
      </c>
      <c r="B100">
        <v>2121.5</v>
      </c>
      <c r="C100">
        <v>109.6015510839149</v>
      </c>
      <c r="D100">
        <v>1.6573572556984891E-6</v>
      </c>
      <c r="E100">
        <v>4.3665311679565501E-7</v>
      </c>
      <c r="F100">
        <v>5.3671375266524517E-7</v>
      </c>
      <c r="G100">
        <v>6.8188750230873702E-8</v>
      </c>
      <c r="H100">
        <v>0.64</v>
      </c>
      <c r="I100">
        <v>0</v>
      </c>
      <c r="J100">
        <v>6.085</v>
      </c>
      <c r="K100">
        <v>0.57275649276110385</v>
      </c>
      <c r="L100">
        <v>318.3688630712598</v>
      </c>
      <c r="M100">
        <v>181.73972455927421</v>
      </c>
      <c r="N100">
        <v>161</v>
      </c>
      <c r="O100" t="s">
        <v>101</v>
      </c>
      <c r="P100">
        <v>1.75</v>
      </c>
      <c r="Q100" s="4">
        <f t="shared" si="5"/>
        <v>1000000</v>
      </c>
      <c r="R100">
        <v>150</v>
      </c>
      <c r="S100">
        <v>6.7</v>
      </c>
      <c r="T100">
        <v>25</v>
      </c>
      <c r="U100">
        <v>9.824680644598769E-3</v>
      </c>
      <c r="V100">
        <v>-0.76253212460178998</v>
      </c>
      <c r="W100">
        <v>4.4527985904938222E-4</v>
      </c>
      <c r="X100">
        <v>2.315382407909311E-2</v>
      </c>
    </row>
    <row r="101" spans="1:24" x14ac:dyDescent="0.45">
      <c r="A101" t="s">
        <v>110</v>
      </c>
      <c r="B101">
        <v>10968.5</v>
      </c>
      <c r="C101">
        <v>2136.2485030226858</v>
      </c>
      <c r="D101">
        <v>-2.1334066802076301E-6</v>
      </c>
      <c r="E101">
        <v>2.881281780940596E-6</v>
      </c>
      <c r="F101">
        <v>7.4160447761194029E-7</v>
      </c>
      <c r="G101">
        <v>2.2054113205713189E-7</v>
      </c>
      <c r="H101">
        <v>1.36</v>
      </c>
      <c r="I101">
        <v>0</v>
      </c>
      <c r="J101">
        <v>6.6349999999999998</v>
      </c>
      <c r="K101">
        <v>2.12132034355966E-2</v>
      </c>
      <c r="L101">
        <v>733.00161328916579</v>
      </c>
      <c r="M101">
        <v>216.03721735962401</v>
      </c>
      <c r="N101">
        <v>65</v>
      </c>
      <c r="O101" t="s">
        <v>125</v>
      </c>
      <c r="P101">
        <v>0.36</v>
      </c>
      <c r="Q101" s="4">
        <f>10^7</f>
        <v>10000000</v>
      </c>
      <c r="R101">
        <v>150</v>
      </c>
      <c r="S101">
        <v>6.7</v>
      </c>
      <c r="T101">
        <v>25</v>
      </c>
      <c r="U101">
        <v>4.2774551498863823E-3</v>
      </c>
      <c r="V101">
        <v>-0.39304558226467151</v>
      </c>
      <c r="W101">
        <v>7.0326906109115651E-4</v>
      </c>
      <c r="X101">
        <v>5.2970606157100912E-2</v>
      </c>
    </row>
    <row r="102" spans="1:24" x14ac:dyDescent="0.45">
      <c r="A102" t="s">
        <v>111</v>
      </c>
      <c r="B102">
        <v>38587</v>
      </c>
      <c r="C102">
        <v>3879.657201351687</v>
      </c>
      <c r="D102">
        <v>1.874224215752652E-4</v>
      </c>
      <c r="E102">
        <v>6.2104617550431528E-5</v>
      </c>
      <c r="F102">
        <v>3.8444496268656713E-6</v>
      </c>
      <c r="G102">
        <v>9.1227738649265539E-7</v>
      </c>
      <c r="H102">
        <v>4</v>
      </c>
      <c r="I102">
        <v>0.73539105243401726</v>
      </c>
      <c r="J102">
        <v>6.18</v>
      </c>
      <c r="K102">
        <v>4.2426406871192576E-2</v>
      </c>
      <c r="L102">
        <v>407.87542731126217</v>
      </c>
      <c r="M102">
        <v>316.73236970573618</v>
      </c>
      <c r="N102">
        <v>113</v>
      </c>
      <c r="O102" t="s">
        <v>125</v>
      </c>
      <c r="P102">
        <v>0.36</v>
      </c>
      <c r="Q102" s="4">
        <f t="shared" ref="Q102:Q103" si="6">10^7</f>
        <v>10000000</v>
      </c>
      <c r="R102">
        <v>150</v>
      </c>
      <c r="S102">
        <v>6.7</v>
      </c>
      <c r="T102">
        <v>25</v>
      </c>
      <c r="U102">
        <v>0.11656521076240151</v>
      </c>
      <c r="V102">
        <v>-0.99425811052854463</v>
      </c>
      <c r="W102">
        <v>6.6771812168647082E-2</v>
      </c>
      <c r="X102">
        <v>0.13825724498451239</v>
      </c>
    </row>
    <row r="103" spans="1:24" x14ac:dyDescent="0.45">
      <c r="A103" t="s">
        <v>112</v>
      </c>
      <c r="B103">
        <v>58385</v>
      </c>
      <c r="C103">
        <v>5899.5300377798458</v>
      </c>
      <c r="D103">
        <v>7.5240493116677945E-4</v>
      </c>
      <c r="E103">
        <v>5.7768234728133232E-5</v>
      </c>
      <c r="F103">
        <v>7.1301972281449888E-6</v>
      </c>
      <c r="G103">
        <v>7.6138130188131583E-7</v>
      </c>
      <c r="H103">
        <v>8.6399999999999988</v>
      </c>
      <c r="I103">
        <v>0</v>
      </c>
      <c r="J103">
        <v>5.7949999999999999</v>
      </c>
      <c r="K103">
        <v>2.1213203435595972E-2</v>
      </c>
      <c r="L103">
        <v>238.5338966839937</v>
      </c>
      <c r="M103">
        <v>179.59605697629831</v>
      </c>
      <c r="N103">
        <v>161</v>
      </c>
      <c r="O103" t="s">
        <v>125</v>
      </c>
      <c r="P103">
        <v>0.36</v>
      </c>
      <c r="Q103" s="4">
        <f t="shared" si="6"/>
        <v>10000000</v>
      </c>
      <c r="R103">
        <v>150</v>
      </c>
      <c r="S103">
        <v>6.7</v>
      </c>
      <c r="T103">
        <v>25</v>
      </c>
      <c r="U103">
        <v>7.6131014637902533E-2</v>
      </c>
      <c r="V103">
        <v>-0.77130090817422614</v>
      </c>
      <c r="W103">
        <v>4.2529311598818537E-2</v>
      </c>
      <c r="X103">
        <v>0.17359082825985639</v>
      </c>
    </row>
    <row r="104" spans="1:24" x14ac:dyDescent="0.45">
      <c r="A104" t="s">
        <v>113</v>
      </c>
      <c r="B104">
        <v>42001.5</v>
      </c>
      <c r="C104">
        <v>2602.17991947777</v>
      </c>
      <c r="D104">
        <v>1.396411645226811E-4</v>
      </c>
      <c r="E104">
        <v>4.4441289644341609E-5</v>
      </c>
      <c r="F104">
        <v>4.0933168976545854E-6</v>
      </c>
      <c r="G104">
        <v>7.9711233335747788E-7</v>
      </c>
      <c r="H104">
        <v>2.8900000000000006</v>
      </c>
      <c r="I104">
        <v>0.46669047558312565</v>
      </c>
      <c r="J104">
        <v>5.9550000000000001</v>
      </c>
      <c r="K104">
        <v>7.0710678118653244E-3</v>
      </c>
      <c r="L104">
        <v>457.43316890411461</v>
      </c>
      <c r="M104">
        <v>80.526613443289236</v>
      </c>
      <c r="N104">
        <v>65</v>
      </c>
      <c r="O104" t="s">
        <v>126</v>
      </c>
      <c r="P104">
        <v>0.36</v>
      </c>
      <c r="Q104" s="4">
        <f>10^8</f>
        <v>100000000</v>
      </c>
      <c r="R104">
        <v>150</v>
      </c>
      <c r="S104">
        <v>6.7</v>
      </c>
      <c r="T104">
        <v>25</v>
      </c>
      <c r="U104">
        <v>2.190097522583621E-2</v>
      </c>
      <c r="V104">
        <v>-0.85942403024495917</v>
      </c>
      <c r="W104">
        <v>6.6785348644914718E-4</v>
      </c>
      <c r="X104">
        <v>4.7982341670181894E-3</v>
      </c>
    </row>
    <row r="105" spans="1:24" x14ac:dyDescent="0.45">
      <c r="A105" t="s">
        <v>114</v>
      </c>
      <c r="B105">
        <v>81923</v>
      </c>
      <c r="C105">
        <v>4337.8496977189052</v>
      </c>
      <c r="D105">
        <v>4.3852967727375298E-4</v>
      </c>
      <c r="E105">
        <v>4.4596173627400758E-5</v>
      </c>
      <c r="F105">
        <v>5.6694762793176964E-6</v>
      </c>
      <c r="G105">
        <v>4.5480123629084698E-7</v>
      </c>
      <c r="H105">
        <v>5.83</v>
      </c>
      <c r="I105">
        <v>0.15556349186104279</v>
      </c>
      <c r="J105">
        <v>5.75</v>
      </c>
      <c r="K105">
        <v>0</v>
      </c>
      <c r="L105">
        <v>456.93799286344631</v>
      </c>
      <c r="M105">
        <v>119.5011164821516</v>
      </c>
      <c r="N105">
        <v>113</v>
      </c>
      <c r="O105" t="s">
        <v>126</v>
      </c>
      <c r="P105">
        <v>0.36</v>
      </c>
      <c r="Q105" s="4">
        <f t="shared" ref="Q105:Q106" si="7">10^8</f>
        <v>100000000</v>
      </c>
      <c r="R105">
        <v>150</v>
      </c>
      <c r="S105">
        <v>6.7</v>
      </c>
      <c r="T105">
        <v>25</v>
      </c>
      <c r="U105">
        <v>3.4925236734787757E-2</v>
      </c>
      <c r="V105">
        <v>-0.8581601171998271</v>
      </c>
      <c r="W105">
        <v>1.1000492905877831E-3</v>
      </c>
      <c r="X105">
        <v>7.2146603668854378E-2</v>
      </c>
    </row>
    <row r="106" spans="1:24" x14ac:dyDescent="0.45">
      <c r="A106" t="s">
        <v>115</v>
      </c>
      <c r="B106">
        <v>116796</v>
      </c>
      <c r="C106">
        <v>7820.4693806275682</v>
      </c>
      <c r="D106">
        <v>4.4582910178289322E-4</v>
      </c>
      <c r="E106">
        <v>1.08077248867198E-4</v>
      </c>
      <c r="F106">
        <v>6.0657649253731334E-6</v>
      </c>
      <c r="G106">
        <v>4.6581471264891872E-7</v>
      </c>
      <c r="H106">
        <v>7.3999999999999986</v>
      </c>
      <c r="I106">
        <v>1.6404877323528018</v>
      </c>
      <c r="J106">
        <v>5.69</v>
      </c>
      <c r="K106">
        <v>0</v>
      </c>
      <c r="L106">
        <v>349.90072452526749</v>
      </c>
      <c r="M106">
        <v>151.4492126274115</v>
      </c>
      <c r="N106">
        <v>161</v>
      </c>
      <c r="O106" t="s">
        <v>126</v>
      </c>
      <c r="P106">
        <v>0.36</v>
      </c>
      <c r="Q106" s="4">
        <f t="shared" si="7"/>
        <v>100000000</v>
      </c>
      <c r="R106">
        <v>150</v>
      </c>
      <c r="S106">
        <v>6.7</v>
      </c>
      <c r="T106">
        <v>25</v>
      </c>
      <c r="U106">
        <v>4.4012763258426887E-2</v>
      </c>
      <c r="V106">
        <v>-0.90820374664558723</v>
      </c>
      <c r="W106">
        <v>2.3286211914848951E-2</v>
      </c>
      <c r="X106">
        <v>8.090514701668601E-2</v>
      </c>
    </row>
    <row r="107" spans="1:24" x14ac:dyDescent="0.45">
      <c r="A107" t="s">
        <v>116</v>
      </c>
      <c r="B107">
        <v>15284.5</v>
      </c>
      <c r="C107">
        <v>952.42235029073811</v>
      </c>
      <c r="D107">
        <v>-4.1962875197472331E-6</v>
      </c>
      <c r="E107">
        <v>6.5619899925580261E-7</v>
      </c>
      <c r="F107">
        <v>5.7719216417910439E-7</v>
      </c>
      <c r="G107">
        <v>5.2862529574942857E-8</v>
      </c>
      <c r="H107">
        <v>1.0200000000000014</v>
      </c>
      <c r="I107">
        <v>0.33941125496954178</v>
      </c>
      <c r="J107">
        <v>6.3550000000000004</v>
      </c>
      <c r="K107">
        <v>2.12132034355966E-2</v>
      </c>
      <c r="L107">
        <v>296.27856423665719</v>
      </c>
      <c r="M107">
        <v>61.320304619250777</v>
      </c>
      <c r="N107">
        <v>66</v>
      </c>
      <c r="O107" t="s">
        <v>127</v>
      </c>
      <c r="P107">
        <v>1</v>
      </c>
      <c r="Q107" s="4">
        <f>10^7</f>
        <v>10000000</v>
      </c>
      <c r="R107">
        <v>300</v>
      </c>
      <c r="S107">
        <v>6.7</v>
      </c>
      <c r="T107">
        <v>25</v>
      </c>
      <c r="U107">
        <v>9.875317099454356E-3</v>
      </c>
      <c r="V107">
        <v>-0.69591991929185926</v>
      </c>
      <c r="W107">
        <v>6.7310323956284012E-3</v>
      </c>
      <c r="X107">
        <v>0.15853991790113089</v>
      </c>
    </row>
    <row r="108" spans="1:24" x14ac:dyDescent="0.45">
      <c r="A108" t="s">
        <v>117</v>
      </c>
      <c r="B108">
        <v>26140</v>
      </c>
      <c r="C108">
        <v>8057.5808197415336</v>
      </c>
      <c r="D108">
        <v>8.1404451591062961E-5</v>
      </c>
      <c r="E108">
        <v>4.0406915083271289E-5</v>
      </c>
      <c r="F108">
        <v>3.0648654051172711E-6</v>
      </c>
      <c r="G108">
        <v>8.2183432302323571E-7</v>
      </c>
      <c r="H108">
        <v>4.0000000000000009</v>
      </c>
      <c r="I108">
        <v>2.2061731573020245</v>
      </c>
      <c r="J108">
        <v>6.2200000000000006</v>
      </c>
      <c r="K108">
        <v>4.2426406871192576E-2</v>
      </c>
      <c r="L108">
        <v>305.35266731579981</v>
      </c>
      <c r="M108">
        <v>213.1867887732212</v>
      </c>
      <c r="N108">
        <v>114</v>
      </c>
      <c r="O108" t="s">
        <v>127</v>
      </c>
      <c r="P108">
        <v>1</v>
      </c>
      <c r="Q108" s="4">
        <f t="shared" ref="Q108:Q112" si="8">10^7</f>
        <v>10000000</v>
      </c>
      <c r="R108">
        <v>300</v>
      </c>
      <c r="S108">
        <v>6.7</v>
      </c>
      <c r="T108">
        <v>25</v>
      </c>
      <c r="U108">
        <v>1.481068324895198E-2</v>
      </c>
      <c r="V108">
        <v>-0.7178176427579197</v>
      </c>
      <c r="W108">
        <v>6.3254881841119338E-3</v>
      </c>
      <c r="X108">
        <v>6.7474206941738552E-3</v>
      </c>
    </row>
    <row r="109" spans="1:24" x14ac:dyDescent="0.45">
      <c r="A109" t="s">
        <v>118</v>
      </c>
      <c r="B109">
        <v>28300.5</v>
      </c>
      <c r="C109">
        <v>626.04446061495241</v>
      </c>
      <c r="D109">
        <v>3.5529155382532152E-4</v>
      </c>
      <c r="E109">
        <v>6.7756734342319503E-5</v>
      </c>
      <c r="F109">
        <v>7.3180970149253732E-6</v>
      </c>
      <c r="G109">
        <v>1.2160523645448949E-6</v>
      </c>
      <c r="H109">
        <v>6.1899999999999977</v>
      </c>
      <c r="I109">
        <v>1.3435028842544428</v>
      </c>
      <c r="J109">
        <v>5.7750000000000004</v>
      </c>
      <c r="K109">
        <v>3.5355339059327251E-2</v>
      </c>
      <c r="L109">
        <v>135.68472660634001</v>
      </c>
      <c r="M109">
        <v>82.600255916839615</v>
      </c>
      <c r="N109">
        <v>162</v>
      </c>
      <c r="O109" t="s">
        <v>127</v>
      </c>
      <c r="P109">
        <v>1</v>
      </c>
      <c r="Q109" s="4">
        <f t="shared" si="8"/>
        <v>10000000</v>
      </c>
      <c r="R109">
        <v>300</v>
      </c>
      <c r="S109">
        <v>6.7</v>
      </c>
      <c r="T109">
        <v>25</v>
      </c>
      <c r="U109">
        <v>1.9235108244511079E-2</v>
      </c>
      <c r="V109">
        <v>-0.82105062674936402</v>
      </c>
      <c r="W109">
        <v>5.8048318383720982E-3</v>
      </c>
      <c r="X109">
        <v>1.0147535445221021E-2</v>
      </c>
    </row>
    <row r="110" spans="1:24" x14ac:dyDescent="0.45">
      <c r="A110" t="s">
        <v>119</v>
      </c>
      <c r="B110">
        <v>32933</v>
      </c>
      <c r="C110">
        <v>2324.9193534400279</v>
      </c>
      <c r="D110">
        <v>1.6307337508463099E-4</v>
      </c>
      <c r="E110">
        <v>3.1546281396837133E-5</v>
      </c>
      <c r="F110">
        <v>5.8119003198294233E-6</v>
      </c>
      <c r="G110">
        <v>6.2742237958456337E-7</v>
      </c>
      <c r="H110">
        <v>4.26</v>
      </c>
      <c r="I110">
        <v>1.2727922061357873</v>
      </c>
      <c r="J110">
        <v>6.0549999999999997</v>
      </c>
      <c r="K110">
        <v>4.9497474683058526E-2</v>
      </c>
      <c r="L110">
        <v>341.26945157707468</v>
      </c>
      <c r="M110">
        <v>77.400850721743197</v>
      </c>
      <c r="N110">
        <v>66</v>
      </c>
      <c r="O110" t="s">
        <v>128</v>
      </c>
      <c r="P110">
        <v>0.36</v>
      </c>
      <c r="Q110" s="4">
        <f>10^7</f>
        <v>10000000</v>
      </c>
      <c r="R110">
        <v>300</v>
      </c>
      <c r="S110">
        <v>6.7</v>
      </c>
      <c r="T110">
        <v>25</v>
      </c>
      <c r="U110">
        <v>1.3599421426697971E-2</v>
      </c>
      <c r="V110">
        <v>-0.75026662114792564</v>
      </c>
      <c r="W110">
        <v>1.431050002010174E-3</v>
      </c>
      <c r="X110">
        <v>2.998561506345836E-2</v>
      </c>
    </row>
    <row r="111" spans="1:24" x14ac:dyDescent="0.45">
      <c r="A111" t="s">
        <v>120</v>
      </c>
      <c r="B111">
        <v>43754.5</v>
      </c>
      <c r="C111">
        <v>2289.731352509868</v>
      </c>
      <c r="D111">
        <v>1.0221310088016249E-3</v>
      </c>
      <c r="E111">
        <v>2.8211605703778639E-4</v>
      </c>
      <c r="F111">
        <v>9.5004331023454138E-6</v>
      </c>
      <c r="G111">
        <v>5.5943600990692862E-7</v>
      </c>
      <c r="H111">
        <v>3.6599999999999966</v>
      </c>
      <c r="I111">
        <v>0.87681240867131627</v>
      </c>
      <c r="J111">
        <v>5.87</v>
      </c>
      <c r="K111">
        <v>1.4142135623730649E-2</v>
      </c>
      <c r="L111">
        <v>361.15923235977471</v>
      </c>
      <c r="M111">
        <v>96.657293617294826</v>
      </c>
      <c r="N111">
        <v>114</v>
      </c>
      <c r="O111" t="s">
        <v>128</v>
      </c>
      <c r="P111">
        <v>0.36</v>
      </c>
      <c r="Q111" s="4">
        <f t="shared" si="8"/>
        <v>10000000</v>
      </c>
      <c r="R111">
        <v>300</v>
      </c>
      <c r="S111">
        <v>6.7</v>
      </c>
      <c r="T111">
        <v>25</v>
      </c>
      <c r="U111">
        <v>4.785328592968037E-2</v>
      </c>
      <c r="V111">
        <v>-0.95063679951989621</v>
      </c>
      <c r="W111">
        <v>6.5079736153267403E-3</v>
      </c>
      <c r="X111">
        <v>4.4451494752208637E-2</v>
      </c>
    </row>
    <row r="112" spans="1:24" x14ac:dyDescent="0.45">
      <c r="A112" t="s">
        <v>121</v>
      </c>
      <c r="B112">
        <v>57578</v>
      </c>
      <c r="C112">
        <v>8047.7093221197629</v>
      </c>
      <c r="D112">
        <v>1.108913055743625E-3</v>
      </c>
      <c r="E112">
        <v>2.2280030142418061E-4</v>
      </c>
      <c r="F112">
        <v>1.108109008528784E-5</v>
      </c>
      <c r="G112">
        <v>7.751880840726771E-7</v>
      </c>
      <c r="H112">
        <v>5.4599999999999982</v>
      </c>
      <c r="I112">
        <v>1.0748023074035526</v>
      </c>
      <c r="J112">
        <v>5.93</v>
      </c>
      <c r="K112">
        <v>9.8994949366116428E-2</v>
      </c>
      <c r="L112">
        <v>253.70971487815939</v>
      </c>
      <c r="M112">
        <v>163.27396289808189</v>
      </c>
      <c r="N112">
        <v>162</v>
      </c>
      <c r="O112" t="s">
        <v>128</v>
      </c>
      <c r="P112">
        <v>0.36</v>
      </c>
      <c r="Q112" s="4">
        <f t="shared" si="8"/>
        <v>10000000</v>
      </c>
      <c r="R112">
        <v>300</v>
      </c>
      <c r="S112">
        <v>6.7</v>
      </c>
      <c r="T112">
        <v>25</v>
      </c>
      <c r="U112">
        <v>0.14718215426540701</v>
      </c>
      <c r="V112">
        <v>-1.099201092618207</v>
      </c>
      <c r="W112">
        <v>8.5079581831433604E-2</v>
      </c>
      <c r="X112">
        <v>0.14683835491118491</v>
      </c>
    </row>
    <row r="113" spans="1:24" x14ac:dyDescent="0.45">
      <c r="A113" t="s">
        <v>122</v>
      </c>
      <c r="B113">
        <v>60379</v>
      </c>
      <c r="C113">
        <v>3450.7420458021302</v>
      </c>
      <c r="D113">
        <v>6.223905438952831E-6</v>
      </c>
      <c r="E113">
        <v>6.5043191565942624E-6</v>
      </c>
      <c r="F113">
        <v>2.2942763859275049E-6</v>
      </c>
      <c r="G113">
        <v>3.631774261687515E-7</v>
      </c>
      <c r="H113">
        <v>4.419999999999999</v>
      </c>
      <c r="I113">
        <v>0.39597979746446571</v>
      </c>
      <c r="J113">
        <v>5.8849999999999998</v>
      </c>
      <c r="K113">
        <v>4.9497474683058526E-2</v>
      </c>
      <c r="L113">
        <v>143.7230163489634</v>
      </c>
      <c r="M113">
        <v>31.059936047641319</v>
      </c>
      <c r="N113">
        <v>66</v>
      </c>
      <c r="O113" t="s">
        <v>129</v>
      </c>
      <c r="P113">
        <v>1</v>
      </c>
      <c r="Q113" s="4">
        <f>10^8</f>
        <v>100000000</v>
      </c>
      <c r="R113">
        <v>300</v>
      </c>
      <c r="S113">
        <v>6.7</v>
      </c>
      <c r="T113">
        <v>25</v>
      </c>
      <c r="U113">
        <v>4.1497826709502042E-2</v>
      </c>
      <c r="V113">
        <v>-1.1653214032683139</v>
      </c>
      <c r="W113">
        <v>1.770496144389892E-4</v>
      </c>
      <c r="X113">
        <v>1.083631172946144E-2</v>
      </c>
    </row>
    <row r="114" spans="1:24" x14ac:dyDescent="0.45">
      <c r="A114" t="s">
        <v>132</v>
      </c>
      <c r="B114">
        <v>68986.5</v>
      </c>
      <c r="C114">
        <v>3084.820740334842</v>
      </c>
      <c r="D114">
        <v>3.9864731437598729E-4</v>
      </c>
      <c r="E114">
        <v>2.6943195961148412E-4</v>
      </c>
      <c r="F114">
        <v>8.2176172707889122E-6</v>
      </c>
      <c r="G114">
        <v>8.3158121492605101E-7</v>
      </c>
      <c r="H114">
        <v>5.3999999999999986</v>
      </c>
      <c r="I114">
        <v>0.28284271247461862</v>
      </c>
      <c r="J114">
        <v>5.73</v>
      </c>
      <c r="K114">
        <v>0</v>
      </c>
      <c r="L114">
        <v>142.25918055387629</v>
      </c>
      <c r="M114">
        <v>30.137329609417211</v>
      </c>
      <c r="N114">
        <v>114</v>
      </c>
      <c r="O114" t="s">
        <v>129</v>
      </c>
      <c r="P114">
        <v>1</v>
      </c>
      <c r="Q114" s="4">
        <f t="shared" ref="Q114:Q115" si="9">10^8</f>
        <v>100000000</v>
      </c>
      <c r="R114">
        <v>300</v>
      </c>
      <c r="S114">
        <v>6.7</v>
      </c>
      <c r="T114">
        <v>25</v>
      </c>
      <c r="U114">
        <v>1.7431702620506782E-2</v>
      </c>
      <c r="V114">
        <v>-0.88530856450133477</v>
      </c>
      <c r="W114">
        <v>2.695163946770393E-3</v>
      </c>
      <c r="X114">
        <v>3.7134267422114793E-2</v>
      </c>
    </row>
    <row r="115" spans="1:24" x14ac:dyDescent="0.45">
      <c r="A115" t="s">
        <v>133</v>
      </c>
      <c r="B115">
        <v>76290</v>
      </c>
      <c r="C115">
        <v>7287.9024417180563</v>
      </c>
      <c r="D115">
        <v>3.5874732001805462E-4</v>
      </c>
      <c r="E115">
        <v>7.139078281617334E-5</v>
      </c>
      <c r="F115">
        <v>9.5539045842217488E-6</v>
      </c>
      <c r="G115">
        <v>5.0935565845837995E-7</v>
      </c>
      <c r="H115">
        <v>6.5200000000000031</v>
      </c>
      <c r="I115">
        <v>0.4242640687119289</v>
      </c>
      <c r="J115">
        <v>5.74</v>
      </c>
      <c r="K115">
        <v>1.4142135623730649E-2</v>
      </c>
      <c r="L115">
        <v>144.21208745690919</v>
      </c>
      <c r="M115">
        <v>31.457386807091659</v>
      </c>
      <c r="N115">
        <v>161</v>
      </c>
      <c r="O115" t="s">
        <v>129</v>
      </c>
      <c r="P115">
        <v>1</v>
      </c>
      <c r="Q115" s="4">
        <f t="shared" si="9"/>
        <v>100000000</v>
      </c>
      <c r="R115">
        <v>300</v>
      </c>
      <c r="S115">
        <v>6.7</v>
      </c>
      <c r="T115">
        <v>25</v>
      </c>
      <c r="U115">
        <v>1.9432687634678519E-2</v>
      </c>
      <c r="V115">
        <v>-0.89494453573089805</v>
      </c>
      <c r="W115">
        <v>2.72054860506824E-3</v>
      </c>
      <c r="X115">
        <v>1.968431422100143E-2</v>
      </c>
    </row>
    <row r="116" spans="1:24" x14ac:dyDescent="0.45">
      <c r="A116" t="s">
        <v>123</v>
      </c>
      <c r="B116">
        <v>883.5</v>
      </c>
      <c r="C116">
        <v>114.5673019088198</v>
      </c>
      <c r="D116">
        <v>-4.4254965019183033E-6</v>
      </c>
      <c r="E116">
        <v>1.815661317924805E-6</v>
      </c>
      <c r="F116">
        <v>1.3992537313432821E-8</v>
      </c>
      <c r="G116">
        <v>1.4012919752953019E-8</v>
      </c>
      <c r="H116">
        <v>5.9999999999996168E-2</v>
      </c>
      <c r="I116">
        <v>0.48083261120685039</v>
      </c>
      <c r="J116">
        <v>6.6400000000000006</v>
      </c>
      <c r="K116">
        <v>1.4142135623731277E-2</v>
      </c>
      <c r="L116">
        <v>148.5742370165998</v>
      </c>
      <c r="M116">
        <v>51.757084081346107</v>
      </c>
      <c r="N116">
        <v>66</v>
      </c>
      <c r="O116" t="s">
        <v>130</v>
      </c>
      <c r="P116">
        <v>1.75</v>
      </c>
      <c r="Q116" s="4">
        <f>10^6</f>
        <v>1000000</v>
      </c>
      <c r="R116">
        <v>300</v>
      </c>
      <c r="S116">
        <v>6.7</v>
      </c>
      <c r="T116">
        <v>25</v>
      </c>
      <c r="U116">
        <v>2.1986958737839168E-3</v>
      </c>
      <c r="V116">
        <v>-0.39619123978077692</v>
      </c>
      <c r="W116">
        <v>2.5898994077659529E-4</v>
      </c>
      <c r="X116">
        <v>4.6024898808268627E-2</v>
      </c>
    </row>
    <row r="117" spans="1:24" x14ac:dyDescent="0.45">
      <c r="A117" t="s">
        <v>134</v>
      </c>
      <c r="B117">
        <v>3554</v>
      </c>
      <c r="C117">
        <v>1255.8649078092219</v>
      </c>
      <c r="D117">
        <v>9.3446738885127E-7</v>
      </c>
      <c r="E117">
        <v>1.1206731396743621E-6</v>
      </c>
      <c r="F117">
        <v>3.4081823027718538E-7</v>
      </c>
      <c r="G117">
        <v>6.9401550670104729E-8</v>
      </c>
      <c r="H117">
        <v>0.72000000000000119</v>
      </c>
      <c r="I117">
        <v>1.0748023074035558</v>
      </c>
      <c r="J117">
        <v>6.5749999999999993</v>
      </c>
      <c r="K117">
        <v>7.7781745930520452E-2</v>
      </c>
      <c r="L117">
        <v>241.37260126141081</v>
      </c>
      <c r="M117">
        <v>100.7718741258745</v>
      </c>
      <c r="N117">
        <v>114</v>
      </c>
      <c r="O117" t="s">
        <v>130</v>
      </c>
      <c r="P117">
        <v>1.75</v>
      </c>
      <c r="Q117" s="4">
        <f t="shared" ref="Q117:Q121" si="10">10^6</f>
        <v>1000000</v>
      </c>
      <c r="R117">
        <v>300</v>
      </c>
      <c r="S117">
        <v>6.7</v>
      </c>
      <c r="T117">
        <v>25</v>
      </c>
      <c r="U117">
        <v>6.2217557616515411E-3</v>
      </c>
      <c r="V117">
        <v>-0.59827367561719602</v>
      </c>
      <c r="W117">
        <v>2.106080448943086E-3</v>
      </c>
      <c r="X117">
        <v>4.1280481953199701E-2</v>
      </c>
    </row>
    <row r="118" spans="1:24" x14ac:dyDescent="0.45">
      <c r="A118" t="s">
        <v>135</v>
      </c>
      <c r="B118">
        <v>11377.5</v>
      </c>
      <c r="C118">
        <v>3281.3093423205319</v>
      </c>
      <c r="D118">
        <v>4.4078650417512998E-7</v>
      </c>
      <c r="E118">
        <v>2.3930584232753379E-6</v>
      </c>
      <c r="F118">
        <v>8.0607009594882719E-7</v>
      </c>
      <c r="G118">
        <v>9.4677687794801242E-8</v>
      </c>
      <c r="H118">
        <v>3.05</v>
      </c>
      <c r="I118">
        <v>1.5697770542341305</v>
      </c>
      <c r="J118">
        <v>6.3149999999999995</v>
      </c>
      <c r="K118">
        <v>3.5355339059327251E-2</v>
      </c>
      <c r="L118">
        <v>206.956021071913</v>
      </c>
      <c r="M118">
        <v>116.023658013234</v>
      </c>
      <c r="N118">
        <v>161</v>
      </c>
      <c r="O118" t="s">
        <v>130</v>
      </c>
      <c r="P118">
        <v>1.75</v>
      </c>
      <c r="Q118" s="4">
        <f t="shared" si="10"/>
        <v>1000000</v>
      </c>
      <c r="R118">
        <v>300</v>
      </c>
      <c r="S118">
        <v>6.7</v>
      </c>
      <c r="T118">
        <v>25</v>
      </c>
      <c r="U118">
        <v>1.7235010810474152E-2</v>
      </c>
      <c r="V118">
        <v>-0.68786755170388914</v>
      </c>
      <c r="W118">
        <v>2.9206143658039229E-3</v>
      </c>
      <c r="X118">
        <v>0.21520048023558061</v>
      </c>
    </row>
    <row r="119" spans="1:24" x14ac:dyDescent="0.45">
      <c r="A119" t="s">
        <v>124</v>
      </c>
      <c r="B119">
        <v>4435.5</v>
      </c>
      <c r="C119">
        <v>182.1528662049177</v>
      </c>
      <c r="D119">
        <v>-7.4757391108102006E-6</v>
      </c>
      <c r="E119">
        <v>3.8444208072063099E-6</v>
      </c>
      <c r="F119">
        <v>7.0762260127931752E-7</v>
      </c>
      <c r="G119">
        <v>3.838607448786233E-7</v>
      </c>
      <c r="H119">
        <v>-0.6499999999999978</v>
      </c>
      <c r="I119">
        <v>4.2426406871192104E-2</v>
      </c>
      <c r="J119">
        <v>6.6349999999999998</v>
      </c>
      <c r="K119">
        <v>3.5355339059327251E-2</v>
      </c>
      <c r="L119">
        <v>687.68263713820579</v>
      </c>
      <c r="M119">
        <v>361.05019472016647</v>
      </c>
      <c r="N119">
        <v>66</v>
      </c>
      <c r="O119" t="s">
        <v>131</v>
      </c>
      <c r="P119">
        <v>0.36</v>
      </c>
      <c r="Q119" s="4">
        <f>10^6</f>
        <v>1000000</v>
      </c>
      <c r="R119">
        <v>250</v>
      </c>
      <c r="S119">
        <v>6.7</v>
      </c>
      <c r="T119">
        <v>25</v>
      </c>
    </row>
    <row r="120" spans="1:24" x14ac:dyDescent="0.45">
      <c r="A120" t="s">
        <v>136</v>
      </c>
      <c r="B120">
        <v>14155</v>
      </c>
      <c r="C120">
        <v>1194.7588320103209</v>
      </c>
      <c r="D120">
        <v>1.2063445046264951E-4</v>
      </c>
      <c r="E120">
        <v>5.4097674118176002E-5</v>
      </c>
      <c r="F120">
        <v>1.9239738805970149E-6</v>
      </c>
      <c r="G120">
        <v>1.6546881824262021E-7</v>
      </c>
      <c r="H120">
        <v>1.6300000000000008</v>
      </c>
      <c r="I120">
        <v>4.2426406871192104E-2</v>
      </c>
      <c r="J120">
        <v>6.4050000000000002</v>
      </c>
      <c r="K120">
        <v>6.3639610306789177E-2</v>
      </c>
      <c r="L120">
        <v>200.65249426785871</v>
      </c>
      <c r="M120">
        <v>182.42693827218559</v>
      </c>
      <c r="N120">
        <v>113</v>
      </c>
      <c r="O120" t="s">
        <v>131</v>
      </c>
      <c r="P120">
        <v>0.36</v>
      </c>
      <c r="Q120" s="4">
        <f t="shared" si="10"/>
        <v>1000000</v>
      </c>
      <c r="R120">
        <v>250</v>
      </c>
      <c r="S120">
        <v>6.7</v>
      </c>
      <c r="T120">
        <v>25</v>
      </c>
      <c r="U120">
        <v>1.6202116167906001E-2</v>
      </c>
      <c r="V120">
        <v>-0.48842971705758431</v>
      </c>
    </row>
    <row r="121" spans="1:24" x14ac:dyDescent="0.45">
      <c r="A121" t="s">
        <v>137</v>
      </c>
      <c r="B121">
        <v>46160</v>
      </c>
      <c r="C121">
        <v>3015.3753774060478</v>
      </c>
      <c r="D121">
        <v>5.9693071541412764E-4</v>
      </c>
      <c r="E121">
        <v>2.106821928460698E-4</v>
      </c>
      <c r="F121">
        <v>8.459988006396587E-6</v>
      </c>
      <c r="G121">
        <v>3.7690661839690708E-6</v>
      </c>
      <c r="H121">
        <v>7.3199999999999985</v>
      </c>
      <c r="I121">
        <v>4.7517575695736012</v>
      </c>
      <c r="J121">
        <v>5.835</v>
      </c>
      <c r="K121">
        <v>0.36062445840513907</v>
      </c>
      <c r="L121">
        <v>169.55781267199561</v>
      </c>
      <c r="M121">
        <v>166.03209476373101</v>
      </c>
      <c r="N121">
        <v>161</v>
      </c>
      <c r="O121" t="s">
        <v>131</v>
      </c>
      <c r="P121">
        <v>0.36</v>
      </c>
      <c r="Q121" s="4">
        <f t="shared" si="10"/>
        <v>1000000</v>
      </c>
      <c r="R121">
        <v>250</v>
      </c>
      <c r="S121">
        <v>6.7</v>
      </c>
      <c r="T121">
        <v>25</v>
      </c>
      <c r="U121">
        <v>6.6653764130663637E-2</v>
      </c>
      <c r="V121">
        <v>-0.86481706056819319</v>
      </c>
      <c r="W121">
        <v>9.4642667928767771E-3</v>
      </c>
      <c r="X121">
        <v>0.1094965782496146</v>
      </c>
    </row>
    <row r="122" spans="1:24" x14ac:dyDescent="0.45">
      <c r="A122" t="s">
        <v>165</v>
      </c>
      <c r="B122">
        <v>10667</v>
      </c>
      <c r="C122">
        <v>3441.2318530820712</v>
      </c>
      <c r="D122">
        <v>5.6949616339426678E-6</v>
      </c>
      <c r="E122">
        <v>2.149675089810368E-6</v>
      </c>
      <c r="F122">
        <v>3.4231743070362472E-7</v>
      </c>
      <c r="G122">
        <v>7.7254149707694435E-8</v>
      </c>
      <c r="H122">
        <v>1.1499999999999981</v>
      </c>
      <c r="I122">
        <v>0.69296464556281523</v>
      </c>
      <c r="J122">
        <v>6.6449999999999996</v>
      </c>
      <c r="K122">
        <v>4.9497474683057895E-2</v>
      </c>
      <c r="N122">
        <v>66</v>
      </c>
      <c r="O122" t="s">
        <v>177</v>
      </c>
      <c r="P122">
        <v>1</v>
      </c>
      <c r="Q122" s="4">
        <f>10^7</f>
        <v>10000000</v>
      </c>
      <c r="R122">
        <v>250</v>
      </c>
      <c r="S122">
        <v>6.7</v>
      </c>
      <c r="T122">
        <v>25</v>
      </c>
      <c r="U122">
        <v>6.2086365889193343E-3</v>
      </c>
      <c r="V122">
        <v>-0.36033654797583459</v>
      </c>
      <c r="W122">
        <v>5.0184553739761363E-3</v>
      </c>
      <c r="X122">
        <v>0.30043761025893972</v>
      </c>
    </row>
    <row r="123" spans="1:24" x14ac:dyDescent="0.45">
      <c r="A123" t="s">
        <v>166</v>
      </c>
      <c r="B123">
        <v>31165</v>
      </c>
      <c r="C123">
        <v>5578.2403438121364</v>
      </c>
      <c r="D123">
        <v>9.0696231099074678E-5</v>
      </c>
      <c r="E123">
        <v>6.5281964372434584E-5</v>
      </c>
      <c r="F123">
        <v>3.084355010660981E-6</v>
      </c>
      <c r="G123">
        <v>1.228527092150302E-6</v>
      </c>
      <c r="H123">
        <v>5.4</v>
      </c>
      <c r="I123">
        <v>0</v>
      </c>
      <c r="J123">
        <v>6.42</v>
      </c>
      <c r="K123">
        <v>0.16970562748477155</v>
      </c>
      <c r="N123">
        <v>113</v>
      </c>
      <c r="O123" t="s">
        <v>181</v>
      </c>
      <c r="P123">
        <v>1</v>
      </c>
      <c r="Q123" s="4">
        <f t="shared" ref="Q123:Q124" si="11">10^7</f>
        <v>10000000</v>
      </c>
      <c r="R123">
        <v>250</v>
      </c>
      <c r="S123">
        <v>6.7</v>
      </c>
      <c r="T123">
        <v>25</v>
      </c>
      <c r="U123">
        <v>1.5466157825411929E-2</v>
      </c>
      <c r="V123">
        <v>-0.66710481424426615</v>
      </c>
      <c r="W123">
        <v>4.8664181904635841E-3</v>
      </c>
      <c r="X123">
        <v>0.37743239226138481</v>
      </c>
    </row>
    <row r="124" spans="1:24" x14ac:dyDescent="0.45">
      <c r="A124" t="s">
        <v>167</v>
      </c>
      <c r="B124">
        <v>33288.5</v>
      </c>
      <c r="C124">
        <v>1569.15316864437</v>
      </c>
      <c r="D124">
        <v>2.4756333220491978E-4</v>
      </c>
      <c r="E124">
        <v>6.6437948875666639E-5</v>
      </c>
      <c r="F124">
        <v>5.9013526119402981E-6</v>
      </c>
      <c r="G124">
        <v>7.4974202892437689E-7</v>
      </c>
      <c r="H124">
        <v>6.98</v>
      </c>
      <c r="I124">
        <v>0</v>
      </c>
      <c r="J124">
        <v>6.1950000000000003</v>
      </c>
      <c r="K124">
        <v>3.5355339059327251E-2</v>
      </c>
      <c r="N124">
        <v>161</v>
      </c>
      <c r="O124" t="s">
        <v>177</v>
      </c>
      <c r="P124">
        <v>1</v>
      </c>
      <c r="Q124" s="4">
        <f t="shared" si="11"/>
        <v>10000000</v>
      </c>
      <c r="R124">
        <v>250</v>
      </c>
      <c r="S124">
        <v>6.7</v>
      </c>
      <c r="T124">
        <v>25</v>
      </c>
      <c r="U124">
        <v>3.8847552303751517E-2</v>
      </c>
      <c r="V124">
        <v>-0.93859493765785107</v>
      </c>
      <c r="W124">
        <v>3.2283029987259217E-2</v>
      </c>
      <c r="X124">
        <v>0.38852838930744399</v>
      </c>
    </row>
    <row r="125" spans="1:24" x14ac:dyDescent="0.45">
      <c r="A125" t="s">
        <v>168</v>
      </c>
      <c r="B125">
        <v>40547</v>
      </c>
      <c r="C125">
        <v>4779.6842991980129</v>
      </c>
      <c r="D125">
        <v>3.6144493342360572E-6</v>
      </c>
      <c r="E125">
        <v>4.4540293021490107E-6</v>
      </c>
      <c r="F125">
        <v>3.7729877398720681E-7</v>
      </c>
      <c r="G125">
        <v>8.7613330580765213E-8</v>
      </c>
      <c r="H125">
        <v>7.3000000000000007</v>
      </c>
      <c r="I125">
        <v>0.36769552621700313</v>
      </c>
      <c r="J125">
        <v>5.88</v>
      </c>
      <c r="K125">
        <v>0.1131370849898477</v>
      </c>
      <c r="N125">
        <v>66</v>
      </c>
      <c r="O125" t="s">
        <v>178</v>
      </c>
      <c r="P125">
        <v>1.75</v>
      </c>
      <c r="Q125" s="4">
        <f>10^8</f>
        <v>100000000</v>
      </c>
      <c r="R125">
        <v>250</v>
      </c>
      <c r="S125">
        <v>6.7</v>
      </c>
      <c r="T125">
        <v>25</v>
      </c>
      <c r="U125">
        <v>2.0139255259876431E-2</v>
      </c>
      <c r="V125">
        <v>-0.99014782339973295</v>
      </c>
      <c r="W125">
        <v>5.3651864985814939E-3</v>
      </c>
      <c r="X125">
        <v>4.7196280133629753E-2</v>
      </c>
    </row>
    <row r="126" spans="1:24" x14ac:dyDescent="0.45">
      <c r="A126" t="s">
        <v>169</v>
      </c>
      <c r="B126">
        <v>52268.5</v>
      </c>
      <c r="C126">
        <v>3883.4470512677271</v>
      </c>
      <c r="D126">
        <v>1.3010254457233129E-4</v>
      </c>
      <c r="E126">
        <v>1.7246570744580971E-5</v>
      </c>
      <c r="F126">
        <v>5.5975146588486133E-6</v>
      </c>
      <c r="G126">
        <v>5.5457641196833636E-7</v>
      </c>
      <c r="H126">
        <v>7.5</v>
      </c>
      <c r="I126">
        <v>0.5656854249492379</v>
      </c>
      <c r="J126">
        <v>5.9050000000000002</v>
      </c>
      <c r="K126">
        <v>7.0710678118653244E-3</v>
      </c>
      <c r="N126">
        <v>113</v>
      </c>
      <c r="O126" t="s">
        <v>178</v>
      </c>
      <c r="P126">
        <v>1.75</v>
      </c>
      <c r="Q126" s="4">
        <f t="shared" ref="Q126:Q127" si="12">10^8</f>
        <v>100000000</v>
      </c>
      <c r="R126">
        <v>250</v>
      </c>
      <c r="S126">
        <v>6.7</v>
      </c>
      <c r="T126">
        <v>25</v>
      </c>
      <c r="U126">
        <v>8.2960828184934582E-2</v>
      </c>
      <c r="V126">
        <v>-1.1241159286336651</v>
      </c>
      <c r="W126">
        <v>5.6495748618370966E-4</v>
      </c>
      <c r="X126">
        <v>5.0837285585585708E-2</v>
      </c>
    </row>
    <row r="127" spans="1:24" x14ac:dyDescent="0.45">
      <c r="A127" t="s">
        <v>170</v>
      </c>
      <c r="B127">
        <v>62368.5</v>
      </c>
      <c r="C127">
        <v>2539.2204512408921</v>
      </c>
      <c r="D127">
        <v>2.053359851049424E-4</v>
      </c>
      <c r="E127">
        <v>3.9293696443560812E-5</v>
      </c>
      <c r="F127">
        <v>6.5275186567164176E-6</v>
      </c>
      <c r="G127">
        <v>4.9759671112069243E-8</v>
      </c>
      <c r="H127">
        <v>5.259999999999998</v>
      </c>
      <c r="I127">
        <v>0</v>
      </c>
      <c r="J127">
        <v>5.43</v>
      </c>
      <c r="K127">
        <v>0.57982756057296914</v>
      </c>
      <c r="N127">
        <v>161</v>
      </c>
      <c r="O127" t="s">
        <v>178</v>
      </c>
      <c r="P127">
        <v>1.75</v>
      </c>
      <c r="Q127" s="4">
        <f t="shared" si="12"/>
        <v>100000000</v>
      </c>
      <c r="R127">
        <v>250</v>
      </c>
      <c r="S127">
        <v>6.7</v>
      </c>
      <c r="T127">
        <v>25</v>
      </c>
      <c r="U127">
        <v>5.1632576749799867E-2</v>
      </c>
      <c r="V127">
        <v>-0.87648748813788213</v>
      </c>
      <c r="W127">
        <v>3.3098124502375779E-2</v>
      </c>
      <c r="X127">
        <v>2.4294554080115899E-3</v>
      </c>
    </row>
    <row r="128" spans="1:24" x14ac:dyDescent="0.45">
      <c r="A128" t="s">
        <v>171</v>
      </c>
      <c r="B128">
        <v>2575</v>
      </c>
      <c r="C128">
        <v>1740.5644678283729</v>
      </c>
      <c r="D128">
        <v>3.9670785375761612E-6</v>
      </c>
      <c r="E128">
        <v>3.712357067831581E-6</v>
      </c>
      <c r="F128">
        <v>1.179371002132196E-7</v>
      </c>
      <c r="G128">
        <v>1.3909888193182871E-7</v>
      </c>
      <c r="H128">
        <v>0.24</v>
      </c>
      <c r="I128">
        <v>0</v>
      </c>
      <c r="J128">
        <v>6.6850000000000005</v>
      </c>
      <c r="K128">
        <v>7.0710678118659524E-3</v>
      </c>
      <c r="N128">
        <v>66</v>
      </c>
      <c r="O128" t="s">
        <v>179</v>
      </c>
      <c r="P128">
        <v>1</v>
      </c>
      <c r="Q128" s="4">
        <f>10^6</f>
        <v>1000000</v>
      </c>
      <c r="R128">
        <v>150</v>
      </c>
      <c r="S128">
        <v>6.7</v>
      </c>
      <c r="T128">
        <v>25</v>
      </c>
      <c r="U128">
        <v>2.2985640045608299E-3</v>
      </c>
      <c r="V128">
        <v>-0.31750905433720289</v>
      </c>
      <c r="W128">
        <v>1.4915608740410701E-3</v>
      </c>
      <c r="X128">
        <v>0.26558511202138418</v>
      </c>
    </row>
    <row r="129" spans="1:24" x14ac:dyDescent="0.45">
      <c r="A129" t="s">
        <v>172</v>
      </c>
      <c r="B129">
        <v>5105</v>
      </c>
      <c r="C129">
        <v>784.41018181391132</v>
      </c>
      <c r="D129">
        <v>5.7302245542766839E-6</v>
      </c>
      <c r="E129">
        <v>4.0397651113267803E-6</v>
      </c>
      <c r="F129">
        <v>8.5254530916844343E-7</v>
      </c>
      <c r="G129">
        <v>4.636492605840831E-8</v>
      </c>
      <c r="H129">
        <v>0.61000000000000221</v>
      </c>
      <c r="I129">
        <v>0.35355339059327801</v>
      </c>
      <c r="J129">
        <v>6.6850000000000005</v>
      </c>
      <c r="K129">
        <v>7.0710678118659524E-3</v>
      </c>
      <c r="N129">
        <v>113</v>
      </c>
      <c r="O129" t="s">
        <v>179</v>
      </c>
      <c r="P129">
        <v>1</v>
      </c>
      <c r="Q129" s="4">
        <f t="shared" ref="Q129:Q130" si="13">10^6</f>
        <v>1000000</v>
      </c>
      <c r="R129">
        <v>150</v>
      </c>
      <c r="S129">
        <v>6.7</v>
      </c>
      <c r="T129">
        <v>25</v>
      </c>
      <c r="U129">
        <v>5.1599821413421971E-3</v>
      </c>
      <c r="V129">
        <v>-0.45278262749530068</v>
      </c>
      <c r="W129">
        <v>1.899235102895139E-4</v>
      </c>
      <c r="X129">
        <v>1.8602431519045521E-2</v>
      </c>
    </row>
    <row r="130" spans="1:24" x14ac:dyDescent="0.45">
      <c r="A130" t="s">
        <v>173</v>
      </c>
      <c r="B130">
        <v>2334</v>
      </c>
      <c r="C130">
        <v>6369.827993491399</v>
      </c>
      <c r="D130">
        <v>3.4469504626495143E-5</v>
      </c>
      <c r="E130">
        <v>8.3715730385442113E-6</v>
      </c>
      <c r="F130">
        <v>-1.424240405117269E-7</v>
      </c>
      <c r="G130">
        <v>2.2755196382215E-7</v>
      </c>
      <c r="H130">
        <f>AVERAGE(G129:G130)</f>
        <v>1.3695844494027915E-7</v>
      </c>
      <c r="I130">
        <f>_xlfn.STDEV.S(G129:G130)</f>
        <v>1.281185830658448E-7</v>
      </c>
      <c r="J130">
        <v>6.57</v>
      </c>
      <c r="K130">
        <v>1.4142135623731277E-2</v>
      </c>
      <c r="N130">
        <v>161</v>
      </c>
      <c r="O130" t="s">
        <v>179</v>
      </c>
      <c r="P130">
        <v>1</v>
      </c>
      <c r="Q130" s="4">
        <f t="shared" si="13"/>
        <v>1000000</v>
      </c>
      <c r="R130">
        <v>150</v>
      </c>
      <c r="S130">
        <v>6.7</v>
      </c>
      <c r="T130">
        <v>25</v>
      </c>
      <c r="U130">
        <v>1.5159934814479289E-2</v>
      </c>
      <c r="V130">
        <v>-0.78126829382098917</v>
      </c>
      <c r="W130">
        <v>8.8115513457964561E-4</v>
      </c>
      <c r="X130">
        <v>1.998301065286812E-2</v>
      </c>
    </row>
    <row r="131" spans="1:24" x14ac:dyDescent="0.45">
      <c r="A131" t="s">
        <v>174</v>
      </c>
      <c r="B131">
        <v>2241</v>
      </c>
      <c r="C131">
        <v>405.39610259596719</v>
      </c>
      <c r="D131">
        <v>-7.2288986684722244E-7</v>
      </c>
      <c r="E131">
        <v>2.2434851580068321E-6</v>
      </c>
      <c r="F131">
        <v>1.8390191897654579E-7</v>
      </c>
      <c r="G131">
        <v>1.1293534295169659E-7</v>
      </c>
      <c r="H131">
        <v>0.6499999999999978</v>
      </c>
      <c r="I131">
        <v>0.240416305603427</v>
      </c>
      <c r="J131">
        <v>6.6449999999999996</v>
      </c>
      <c r="K131">
        <v>2.12132034355966E-2</v>
      </c>
      <c r="N131">
        <v>66</v>
      </c>
      <c r="O131" t="s">
        <v>180</v>
      </c>
      <c r="P131">
        <v>1.75</v>
      </c>
      <c r="Q131" s="4">
        <f>10^7</f>
        <v>10000000</v>
      </c>
      <c r="R131">
        <v>150</v>
      </c>
      <c r="S131">
        <v>6.7</v>
      </c>
      <c r="T131">
        <v>25</v>
      </c>
      <c r="U131">
        <v>2.9496487459908082E-3</v>
      </c>
      <c r="V131">
        <v>-0.48418385601535019</v>
      </c>
    </row>
    <row r="132" spans="1:24" x14ac:dyDescent="0.45">
      <c r="A132" t="s">
        <v>175</v>
      </c>
      <c r="B132">
        <v>11681</v>
      </c>
      <c r="C132">
        <v>548.55750230338958</v>
      </c>
      <c r="D132">
        <v>-3.896552696908146E-6</v>
      </c>
      <c r="E132">
        <v>1.3506862469266789E-6</v>
      </c>
      <c r="F132">
        <v>5.4071162046908322E-7</v>
      </c>
      <c r="G132">
        <v>9.7031424850414508E-8</v>
      </c>
      <c r="H132">
        <v>2.379999999999999</v>
      </c>
      <c r="I132">
        <v>0.33941125496954244</v>
      </c>
      <c r="J132">
        <v>6.45</v>
      </c>
      <c r="K132">
        <v>1.4142135623730649E-2</v>
      </c>
      <c r="N132">
        <v>113</v>
      </c>
      <c r="O132" t="s">
        <v>180</v>
      </c>
      <c r="P132">
        <v>1.75</v>
      </c>
      <c r="Q132" s="4">
        <f t="shared" ref="Q132:Q133" si="14">10^7</f>
        <v>10000000</v>
      </c>
      <c r="R132">
        <v>150</v>
      </c>
      <c r="S132">
        <v>6.7</v>
      </c>
      <c r="T132">
        <v>25</v>
      </c>
      <c r="U132">
        <v>1.175219855551897E-2</v>
      </c>
      <c r="V132">
        <v>-0.67900515718157228</v>
      </c>
      <c r="W132">
        <v>2.7571257172483731E-3</v>
      </c>
      <c r="X132">
        <v>0.1054684820364401</v>
      </c>
    </row>
    <row r="133" spans="1:24" x14ac:dyDescent="0.45">
      <c r="A133" t="s">
        <v>176</v>
      </c>
      <c r="B133">
        <v>32017</v>
      </c>
      <c r="C133">
        <v>2516.404313036096</v>
      </c>
      <c r="D133">
        <v>4.7640205371248021E-5</v>
      </c>
      <c r="E133">
        <v>2.8998754560234271E-5</v>
      </c>
      <c r="F133">
        <v>2.946428571428571E-6</v>
      </c>
      <c r="G133">
        <v>2.0106646348697941E-7</v>
      </c>
      <c r="H133">
        <v>4.4699999999999989</v>
      </c>
      <c r="I133">
        <v>0.18384776310850157</v>
      </c>
      <c r="J133">
        <v>6.3</v>
      </c>
      <c r="K133">
        <v>5.6568542494923851E-2</v>
      </c>
      <c r="N133">
        <v>161</v>
      </c>
      <c r="O133" t="s">
        <v>180</v>
      </c>
      <c r="P133">
        <v>1.75</v>
      </c>
      <c r="Q133" s="4">
        <f t="shared" si="14"/>
        <v>10000000</v>
      </c>
      <c r="R133">
        <v>150</v>
      </c>
      <c r="S133">
        <v>6.7</v>
      </c>
      <c r="T133">
        <v>25</v>
      </c>
      <c r="U133">
        <v>1.814046587968721E-2</v>
      </c>
      <c r="V133">
        <v>-0.66340806748539105</v>
      </c>
      <c r="W133">
        <v>8.5424745040369514E-5</v>
      </c>
      <c r="X133">
        <v>2.1037343916289499E-2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6E37-0300-4259-83A5-60FFB19642D9}">
  <dimension ref="B2:AJ32"/>
  <sheetViews>
    <sheetView zoomScale="113" workbookViewId="0">
      <selection activeCell="F7" sqref="F7"/>
    </sheetView>
  </sheetViews>
  <sheetFormatPr defaultRowHeight="14.25" x14ac:dyDescent="0.45"/>
  <cols>
    <col min="3" max="3" width="11.6640625" bestFit="1" customWidth="1"/>
    <col min="19" max="26" width="9.1328125" bestFit="1" customWidth="1"/>
    <col min="27" max="27" width="11.73046875" bestFit="1" customWidth="1"/>
    <col min="28" max="28" width="9.1328125" bestFit="1" customWidth="1"/>
    <col min="29" max="29" width="11.73046875" bestFit="1" customWidth="1"/>
  </cols>
  <sheetData>
    <row r="2" spans="2:36" s="6" customFormat="1" ht="21" x14ac:dyDescent="0.65">
      <c r="B2" s="19" t="s">
        <v>154</v>
      </c>
    </row>
    <row r="4" spans="2:36" x14ac:dyDescent="0.45">
      <c r="C4" s="9" t="s">
        <v>142</v>
      </c>
      <c r="D4" s="26" t="s">
        <v>143</v>
      </c>
      <c r="E4" s="27"/>
      <c r="F4" s="22" t="s">
        <v>144</v>
      </c>
      <c r="G4" s="22"/>
      <c r="H4" s="22"/>
      <c r="I4" s="22"/>
      <c r="J4" s="12" t="s">
        <v>145</v>
      </c>
      <c r="K4" s="12" t="s">
        <v>146</v>
      </c>
      <c r="L4" s="24" t="s">
        <v>147</v>
      </c>
      <c r="M4" s="22"/>
      <c r="N4" s="22"/>
      <c r="O4" s="22"/>
      <c r="P4" s="22"/>
      <c r="Q4" s="22"/>
      <c r="R4" s="22"/>
      <c r="S4" s="23"/>
      <c r="T4" s="22" t="s">
        <v>148</v>
      </c>
      <c r="U4" s="22"/>
      <c r="V4" s="23"/>
      <c r="W4" s="12" t="s">
        <v>163</v>
      </c>
      <c r="X4" s="9" t="s">
        <v>155</v>
      </c>
      <c r="Y4" s="12" t="s">
        <v>156</v>
      </c>
      <c r="Z4" s="12" t="s">
        <v>158</v>
      </c>
      <c r="AA4" s="12" t="s">
        <v>159</v>
      </c>
      <c r="AB4" s="12" t="s">
        <v>160</v>
      </c>
      <c r="AC4" s="12" t="s">
        <v>161</v>
      </c>
      <c r="AD4" s="21"/>
    </row>
    <row r="5" spans="2:36" x14ac:dyDescent="0.45">
      <c r="C5" s="10"/>
      <c r="D5" s="10" t="s">
        <v>149</v>
      </c>
      <c r="E5" s="11" t="s">
        <v>150</v>
      </c>
      <c r="F5" s="8">
        <v>1</v>
      </c>
      <c r="G5" s="8">
        <v>0.75</v>
      </c>
      <c r="H5" s="8">
        <v>0.5</v>
      </c>
      <c r="I5" s="8">
        <v>0.25</v>
      </c>
      <c r="J5" s="13"/>
      <c r="K5" s="13"/>
      <c r="L5" s="14">
        <v>0.6</v>
      </c>
      <c r="M5" s="8">
        <v>0.5</v>
      </c>
      <c r="N5" s="8">
        <v>0.4</v>
      </c>
      <c r="O5" s="8">
        <v>0.3</v>
      </c>
      <c r="P5" s="8">
        <v>0.25</v>
      </c>
      <c r="Q5" s="8">
        <v>0.2</v>
      </c>
      <c r="R5" s="8">
        <v>0.1</v>
      </c>
      <c r="S5" s="15">
        <v>0</v>
      </c>
      <c r="T5" s="7" t="s">
        <v>151</v>
      </c>
      <c r="U5" s="7" t="s">
        <v>152</v>
      </c>
      <c r="V5" s="11" t="s">
        <v>153</v>
      </c>
      <c r="W5" s="13"/>
      <c r="X5" s="10" t="s">
        <v>157</v>
      </c>
      <c r="Y5" s="13" t="s">
        <v>157</v>
      </c>
      <c r="Z5" s="16"/>
      <c r="AA5" s="16" t="s">
        <v>162</v>
      </c>
      <c r="AB5" s="16"/>
      <c r="AC5" s="16"/>
      <c r="AG5" t="s">
        <v>207</v>
      </c>
      <c r="AH5" t="s">
        <v>208</v>
      </c>
      <c r="AI5" t="s">
        <v>161</v>
      </c>
      <c r="AJ5" t="s">
        <v>209</v>
      </c>
    </row>
    <row r="6" spans="2:36" x14ac:dyDescent="0.45">
      <c r="B6" s="25" t="s">
        <v>5</v>
      </c>
      <c r="C6" s="6">
        <f>AVERAGE(C8:C19)</f>
        <v>7.2250000000000005</v>
      </c>
      <c r="D6" s="6">
        <f>AVERAGE(D8:D19)</f>
        <v>7.46</v>
      </c>
      <c r="E6" s="6">
        <f t="shared" ref="E6:F6" si="0">AVERAGE(E8:E19)</f>
        <v>7.6800000000000006</v>
      </c>
      <c r="F6" s="6">
        <f t="shared" si="0"/>
        <v>7.4599999999999991</v>
      </c>
      <c r="G6" s="6">
        <f>AVERAGE(G8:G9)</f>
        <v>6.18</v>
      </c>
      <c r="H6" s="6">
        <f>AVERAGE(H8:H11)</f>
        <v>5.2749999999999986</v>
      </c>
      <c r="I6" s="6">
        <f>AVERAGE(I8:I9)</f>
        <v>2.5600000000000014</v>
      </c>
      <c r="J6" s="6">
        <f>AVERAGE(J8:J9)</f>
        <v>8.07</v>
      </c>
      <c r="K6" s="6">
        <f t="shared" ref="K6:AC6" si="1">AVERAGE(K8:K9)</f>
        <v>6.2</v>
      </c>
      <c r="L6" s="6">
        <f t="shared" si="1"/>
        <v>8.42</v>
      </c>
      <c r="M6" s="6">
        <f>AVERAGE(M8:M10)</f>
        <v>8.079999999999993</v>
      </c>
      <c r="N6" s="6">
        <f>AVERAGE(N8:N13)</f>
        <v>7.44</v>
      </c>
      <c r="O6" s="6">
        <f>AVERAGE(O8:O11)</f>
        <v>6.8800000000000026</v>
      </c>
      <c r="P6" s="6">
        <f>AVERAGE(P8:P9)</f>
        <v>8.9899999999999984</v>
      </c>
      <c r="Q6" s="6">
        <f>AVERAGE(Q8:Q10)</f>
        <v>7.8266666666666636</v>
      </c>
      <c r="R6" s="6">
        <f>AVERAGE(R8:R9)</f>
        <v>7.96</v>
      </c>
      <c r="S6" s="6">
        <f>AVERAGE(S8:S9)</f>
        <v>3.9199999999999955</v>
      </c>
      <c r="T6" s="6">
        <f t="shared" si="1"/>
        <v>3.1799999999999997</v>
      </c>
      <c r="U6" s="6">
        <f t="shared" si="1"/>
        <v>9.4399999999999977</v>
      </c>
      <c r="V6" s="6">
        <f t="shared" si="1"/>
        <v>7.5399999999999991</v>
      </c>
      <c r="W6" s="6"/>
      <c r="X6" s="6">
        <f t="shared" si="1"/>
        <v>3.9099999999999997</v>
      </c>
      <c r="Y6" s="6">
        <f>AVERAGE(Y8:Y9)</f>
        <v>3.66</v>
      </c>
      <c r="Z6" s="6">
        <f t="shared" si="1"/>
        <v>5.6</v>
      </c>
      <c r="AA6" s="6">
        <f t="shared" si="1"/>
        <v>1.1899999999999995</v>
      </c>
      <c r="AB6" s="6"/>
      <c r="AC6" s="6">
        <f t="shared" si="1"/>
        <v>1.0199999999999987</v>
      </c>
      <c r="AD6" s="6"/>
      <c r="AG6" t="s">
        <v>210</v>
      </c>
      <c r="AH6" t="s">
        <v>211</v>
      </c>
    </row>
    <row r="7" spans="2:36" x14ac:dyDescent="0.45">
      <c r="B7" s="25"/>
      <c r="C7" s="6">
        <f>_xlfn.STDEV.S(C8:C20)</f>
        <v>1.329336813466159</v>
      </c>
      <c r="D7" s="6">
        <f t="shared" ref="D7:AC7" si="2">_xlfn.STDEV.S(D8:D20)</f>
        <v>2.7408444996804464</v>
      </c>
      <c r="E7" s="6">
        <f t="shared" si="2"/>
        <v>5.1194530957906093</v>
      </c>
      <c r="F7" s="6">
        <f>_xlfn.STDEV.S(F8:F20)</f>
        <v>2.7408444996804504</v>
      </c>
      <c r="G7" s="6">
        <f t="shared" si="2"/>
        <v>2.9698484809834986</v>
      </c>
      <c r="H7" s="6">
        <f t="shared" si="2"/>
        <v>0.78475049113290585</v>
      </c>
      <c r="I7" s="6">
        <f t="shared" si="2"/>
        <v>0.56568542494923824</v>
      </c>
      <c r="J7" s="6">
        <f t="shared" si="2"/>
        <v>2.1354624791833623</v>
      </c>
      <c r="K7" s="6">
        <f t="shared" si="2"/>
        <v>2.0930360723121759</v>
      </c>
      <c r="L7" s="6">
        <f t="shared" si="2"/>
        <v>5.6568542494925107E-2</v>
      </c>
      <c r="M7" s="6">
        <f t="shared" si="2"/>
        <v>0.26229754097208541</v>
      </c>
      <c r="N7" s="6">
        <f t="shared" si="2"/>
        <v>1.610217376629631</v>
      </c>
      <c r="O7" s="6">
        <f t="shared" si="2"/>
        <v>1.3173711195660309</v>
      </c>
      <c r="P7" s="6">
        <f t="shared" si="2"/>
        <v>1.2869343417594994</v>
      </c>
      <c r="Q7" s="6">
        <f t="shared" si="2"/>
        <v>0.32331615074618875</v>
      </c>
      <c r="R7" s="6">
        <f t="shared" si="2"/>
        <v>0.9899494936611668</v>
      </c>
      <c r="S7" s="6">
        <f t="shared" si="2"/>
        <v>1.7819090885900999</v>
      </c>
      <c r="T7" s="6">
        <f t="shared" si="2"/>
        <v>1.1879393923934016</v>
      </c>
      <c r="U7" s="6">
        <f t="shared" si="2"/>
        <v>0.70710678118654879</v>
      </c>
      <c r="V7" s="6">
        <f t="shared" si="2"/>
        <v>0.70710678118654435</v>
      </c>
      <c r="W7" s="6"/>
      <c r="X7" s="6">
        <f t="shared" si="2"/>
        <v>0.69296464556281656</v>
      </c>
      <c r="Y7" s="6"/>
      <c r="Z7" s="6"/>
      <c r="AA7" s="6">
        <f t="shared" si="2"/>
        <v>1.0889444430272768</v>
      </c>
      <c r="AB7" s="6"/>
      <c r="AC7" s="6" t="e">
        <f t="shared" si="2"/>
        <v>#DIV/0!</v>
      </c>
      <c r="AD7" s="6"/>
    </row>
    <row r="8" spans="2:36" x14ac:dyDescent="0.45">
      <c r="B8" s="25"/>
      <c r="C8" s="5">
        <v>7.240000000000002</v>
      </c>
      <c r="D8" s="5">
        <v>6.8600000000000048</v>
      </c>
      <c r="E8">
        <v>4.0599999999999969</v>
      </c>
      <c r="F8" s="5">
        <v>4.84</v>
      </c>
      <c r="G8">
        <v>8.2799999999999994</v>
      </c>
      <c r="H8">
        <v>4.9399999999999995</v>
      </c>
      <c r="I8">
        <v>2.9600000000000017</v>
      </c>
      <c r="J8">
        <v>9.58</v>
      </c>
      <c r="K8">
        <v>4.7200000000000024</v>
      </c>
      <c r="L8">
        <v>8.379999999999999</v>
      </c>
      <c r="M8">
        <v>8.3600000000000012</v>
      </c>
      <c r="N8">
        <v>8.76</v>
      </c>
      <c r="O8">
        <v>6.0400000000000009</v>
      </c>
      <c r="P8">
        <v>8.0799999999999983</v>
      </c>
      <c r="Q8">
        <v>8.1199999999999939</v>
      </c>
      <c r="R8">
        <v>7.26</v>
      </c>
      <c r="S8">
        <v>5.1799999999999953</v>
      </c>
      <c r="T8">
        <v>4.0200000000000014</v>
      </c>
      <c r="U8">
        <v>9.94</v>
      </c>
      <c r="V8">
        <v>7.0400000000000018</v>
      </c>
      <c r="X8">
        <v>3.4200000000000008</v>
      </c>
      <c r="Y8">
        <v>3.66</v>
      </c>
      <c r="Z8">
        <v>5.6</v>
      </c>
      <c r="AA8">
        <v>0.4200000000000037</v>
      </c>
      <c r="AC8">
        <v>1.0199999999999987</v>
      </c>
    </row>
    <row r="9" spans="2:36" x14ac:dyDescent="0.45">
      <c r="B9" s="25"/>
      <c r="C9" s="5">
        <v>5.9199999999999973</v>
      </c>
      <c r="D9" s="5">
        <v>6.5000000000000009</v>
      </c>
      <c r="E9">
        <v>11.300000000000004</v>
      </c>
      <c r="F9" s="20" t="s">
        <v>212</v>
      </c>
      <c r="G9">
        <v>4.08</v>
      </c>
      <c r="H9">
        <v>4.5599999999999969</v>
      </c>
      <c r="I9">
        <v>2.160000000000001</v>
      </c>
      <c r="J9">
        <v>6.5599999999999987</v>
      </c>
      <c r="K9">
        <v>7.6799999999999979</v>
      </c>
      <c r="L9">
        <v>8.4600000000000009</v>
      </c>
      <c r="M9">
        <v>8.039999999999992</v>
      </c>
      <c r="N9">
        <v>6.6</v>
      </c>
      <c r="O9">
        <v>8.7999999999999972</v>
      </c>
      <c r="P9">
        <v>9.8999999999999968</v>
      </c>
      <c r="Q9">
        <v>7.8799999999999981</v>
      </c>
      <c r="R9">
        <v>8.66</v>
      </c>
      <c r="S9">
        <v>2.6599999999999957</v>
      </c>
      <c r="T9">
        <v>2.3399999999999976</v>
      </c>
      <c r="U9">
        <v>8.9399999999999977</v>
      </c>
      <c r="V9">
        <v>8.0399999999999974</v>
      </c>
      <c r="X9">
        <v>4.3999999999999986</v>
      </c>
      <c r="AA9">
        <v>1.9599999999999951</v>
      </c>
    </row>
    <row r="10" spans="2:36" x14ac:dyDescent="0.45">
      <c r="B10" s="25"/>
      <c r="C10" s="5">
        <v>8.5600000000000023</v>
      </c>
      <c r="D10" s="20" t="s">
        <v>213</v>
      </c>
      <c r="E10" t="s">
        <v>187</v>
      </c>
      <c r="F10" s="5">
        <v>10.38</v>
      </c>
      <c r="G10" t="s">
        <v>188</v>
      </c>
      <c r="H10">
        <v>5.2200000000000024</v>
      </c>
      <c r="I10" t="s">
        <v>189</v>
      </c>
      <c r="J10" t="s">
        <v>193</v>
      </c>
      <c r="K10" t="s">
        <v>194</v>
      </c>
      <c r="L10" t="s">
        <v>195</v>
      </c>
      <c r="M10">
        <v>7.839999999999991</v>
      </c>
      <c r="N10">
        <v>5.04</v>
      </c>
      <c r="O10">
        <v>6.6800000000000077</v>
      </c>
      <c r="P10" t="s">
        <v>196</v>
      </c>
      <c r="Q10">
        <v>7.4799999999999978</v>
      </c>
      <c r="R10" t="s">
        <v>196</v>
      </c>
      <c r="S10" t="s">
        <v>197</v>
      </c>
      <c r="T10" t="s">
        <v>205</v>
      </c>
      <c r="U10" t="s">
        <v>203</v>
      </c>
      <c r="V10" t="s">
        <v>204</v>
      </c>
      <c r="X10" t="s">
        <v>183</v>
      </c>
      <c r="Y10" t="s">
        <v>182</v>
      </c>
      <c r="Z10" t="s">
        <v>184</v>
      </c>
      <c r="AA10" t="s">
        <v>185</v>
      </c>
      <c r="AC10" t="s">
        <v>186</v>
      </c>
    </row>
    <row r="11" spans="2:36" x14ac:dyDescent="0.45">
      <c r="B11" s="25"/>
      <c r="C11" s="5">
        <v>7.9399999999999977</v>
      </c>
      <c r="D11" s="5">
        <v>6.3799999999999972</v>
      </c>
      <c r="F11" s="5">
        <v>12.879999999999997</v>
      </c>
      <c r="H11">
        <v>6.3799999999999972</v>
      </c>
      <c r="M11" t="s">
        <v>199</v>
      </c>
      <c r="N11" s="20" t="s">
        <v>206</v>
      </c>
      <c r="O11">
        <v>6.0000000000000053</v>
      </c>
      <c r="Q11" t="s">
        <v>202</v>
      </c>
    </row>
    <row r="12" spans="2:36" x14ac:dyDescent="0.45">
      <c r="C12" s="5">
        <v>8.5799999999999983</v>
      </c>
      <c r="D12" s="5">
        <v>5.3599999999999985</v>
      </c>
      <c r="F12" t="s">
        <v>191</v>
      </c>
      <c r="H12" t="s">
        <v>192</v>
      </c>
      <c r="N12">
        <v>8.7999999999999972</v>
      </c>
      <c r="O12" t="s">
        <v>201</v>
      </c>
    </row>
    <row r="13" spans="2:36" x14ac:dyDescent="0.45">
      <c r="C13" s="5">
        <v>7.419999999999999</v>
      </c>
      <c r="D13" s="5">
        <v>6.4799999999999969</v>
      </c>
      <c r="F13" s="5">
        <v>6.8600000000000048</v>
      </c>
      <c r="N13">
        <v>8.0000000000000071</v>
      </c>
    </row>
    <row r="14" spans="2:36" x14ac:dyDescent="0.45">
      <c r="C14" s="5">
        <v>7.240000000000002</v>
      </c>
      <c r="D14" t="s">
        <v>190</v>
      </c>
      <c r="F14" s="5">
        <v>6.5000000000000009</v>
      </c>
      <c r="N14" t="s">
        <v>200</v>
      </c>
    </row>
    <row r="15" spans="2:36" x14ac:dyDescent="0.45">
      <c r="C15" s="5">
        <v>5.9199999999999973</v>
      </c>
      <c r="D15" s="5">
        <v>4.84</v>
      </c>
      <c r="F15" s="20" t="s">
        <v>213</v>
      </c>
    </row>
    <row r="16" spans="2:36" x14ac:dyDescent="0.45">
      <c r="C16" s="5">
        <v>8.9600000000000009</v>
      </c>
      <c r="D16" s="20" t="s">
        <v>212</v>
      </c>
      <c r="F16" s="5">
        <v>6.3799999999999972</v>
      </c>
    </row>
    <row r="17" spans="2:29" x14ac:dyDescent="0.45">
      <c r="C17" s="5">
        <v>8.3600000000000012</v>
      </c>
      <c r="D17" s="5">
        <v>10.38</v>
      </c>
      <c r="F17" s="5">
        <v>5.3599999999999985</v>
      </c>
    </row>
    <row r="18" spans="2:29" x14ac:dyDescent="0.45">
      <c r="C18" s="5">
        <v>5.2799999999999958</v>
      </c>
      <c r="D18" s="5">
        <v>12.879999999999997</v>
      </c>
      <c r="F18" s="5">
        <v>6.4799999999999969</v>
      </c>
    </row>
    <row r="19" spans="2:29" x14ac:dyDescent="0.45">
      <c r="C19" s="5">
        <v>5.2800000000000065</v>
      </c>
    </row>
    <row r="20" spans="2:29" x14ac:dyDescent="0.45">
      <c r="C20" t="s">
        <v>198</v>
      </c>
    </row>
    <row r="22" spans="2:29" s="18" customFormat="1" ht="21" x14ac:dyDescent="0.65">
      <c r="B22" s="17" t="s">
        <v>164</v>
      </c>
    </row>
    <row r="25" spans="2:29" x14ac:dyDescent="0.45">
      <c r="C25" s="9" t="s">
        <v>142</v>
      </c>
      <c r="D25" s="26" t="s">
        <v>143</v>
      </c>
      <c r="E25" s="27"/>
      <c r="F25" s="22" t="s">
        <v>144</v>
      </c>
      <c r="G25" s="22"/>
      <c r="H25" s="22"/>
      <c r="I25" s="22"/>
      <c r="J25" s="12" t="s">
        <v>145</v>
      </c>
      <c r="K25" s="12" t="s">
        <v>146</v>
      </c>
      <c r="L25" s="24" t="s">
        <v>147</v>
      </c>
      <c r="M25" s="22"/>
      <c r="N25" s="22"/>
      <c r="O25" s="22"/>
      <c r="P25" s="22"/>
      <c r="Q25" s="22"/>
      <c r="R25" s="22"/>
      <c r="S25" s="23"/>
      <c r="T25" s="22" t="s">
        <v>148</v>
      </c>
      <c r="U25" s="22"/>
      <c r="V25" s="23"/>
      <c r="W25" s="12" t="s">
        <v>163</v>
      </c>
      <c r="X25" s="9" t="s">
        <v>155</v>
      </c>
      <c r="Y25" s="12" t="s">
        <v>156</v>
      </c>
      <c r="Z25" s="12" t="s">
        <v>158</v>
      </c>
      <c r="AA25" s="12" t="s">
        <v>159</v>
      </c>
      <c r="AB25" s="12" t="s">
        <v>160</v>
      </c>
      <c r="AC25" s="12" t="s">
        <v>161</v>
      </c>
    </row>
    <row r="26" spans="2:29" x14ac:dyDescent="0.45">
      <c r="C26" s="10"/>
      <c r="D26" s="10" t="s">
        <v>149</v>
      </c>
      <c r="E26" s="11" t="s">
        <v>150</v>
      </c>
      <c r="F26" s="8">
        <v>1</v>
      </c>
      <c r="G26" s="8">
        <v>0.75</v>
      </c>
      <c r="H26" s="8">
        <v>0.5</v>
      </c>
      <c r="I26" s="8">
        <v>0.25</v>
      </c>
      <c r="J26" s="13"/>
      <c r="K26" s="13"/>
      <c r="L26" s="14">
        <v>0.6</v>
      </c>
      <c r="M26" s="8">
        <v>0.5</v>
      </c>
      <c r="N26" s="8">
        <v>0.4</v>
      </c>
      <c r="O26" s="8">
        <v>0.3</v>
      </c>
      <c r="P26" s="8">
        <v>0.25</v>
      </c>
      <c r="Q26" s="8">
        <v>0.2</v>
      </c>
      <c r="R26" s="8">
        <v>0.1</v>
      </c>
      <c r="S26" s="15">
        <v>0</v>
      </c>
      <c r="T26" s="7" t="s">
        <v>151</v>
      </c>
      <c r="U26" s="7" t="s">
        <v>152</v>
      </c>
      <c r="V26" s="11" t="s">
        <v>153</v>
      </c>
      <c r="W26" s="13"/>
      <c r="X26" s="10" t="s">
        <v>157</v>
      </c>
      <c r="Y26" s="13" t="s">
        <v>157</v>
      </c>
      <c r="Z26" s="16"/>
      <c r="AA26" s="16" t="s">
        <v>162</v>
      </c>
      <c r="AB26" s="16"/>
      <c r="AC26" s="16"/>
    </row>
    <row r="27" spans="2:29" x14ac:dyDescent="0.45">
      <c r="C27" s="18">
        <f>AVERAGE(C29:C45)</f>
        <v>1.581048296095689E-4</v>
      </c>
      <c r="D27" s="18" t="e">
        <f t="shared" ref="D27:AC27" si="3">AVERAGE(D29:D45)</f>
        <v>#DIV/0!</v>
      </c>
      <c r="E27" s="18" t="e">
        <f t="shared" si="3"/>
        <v>#DIV/0!</v>
      </c>
      <c r="F27" s="18" t="e">
        <f t="shared" si="3"/>
        <v>#DIV/0!</v>
      </c>
      <c r="G27" s="18" t="e">
        <f t="shared" si="3"/>
        <v>#DIV/0!</v>
      </c>
      <c r="H27" s="18" t="e">
        <f t="shared" si="3"/>
        <v>#DIV/0!</v>
      </c>
      <c r="I27" s="18" t="e">
        <f t="shared" si="3"/>
        <v>#DIV/0!</v>
      </c>
      <c r="J27" s="18" t="e">
        <f t="shared" si="3"/>
        <v>#DIV/0!</v>
      </c>
      <c r="K27" s="18" t="e">
        <f t="shared" si="3"/>
        <v>#DIV/0!</v>
      </c>
      <c r="L27" s="18" t="e">
        <f t="shared" si="3"/>
        <v>#DIV/0!</v>
      </c>
      <c r="M27" s="18" t="e">
        <f t="shared" si="3"/>
        <v>#DIV/0!</v>
      </c>
      <c r="N27" s="18" t="e">
        <f t="shared" si="3"/>
        <v>#DIV/0!</v>
      </c>
      <c r="O27" s="18" t="e">
        <f t="shared" si="3"/>
        <v>#DIV/0!</v>
      </c>
      <c r="P27" s="18" t="e">
        <f t="shared" si="3"/>
        <v>#DIV/0!</v>
      </c>
      <c r="Q27" s="18" t="e">
        <f t="shared" si="3"/>
        <v>#DIV/0!</v>
      </c>
      <c r="R27" s="18" t="e">
        <f t="shared" si="3"/>
        <v>#DIV/0!</v>
      </c>
      <c r="S27" s="18" t="e">
        <f t="shared" si="3"/>
        <v>#DIV/0!</v>
      </c>
      <c r="T27" s="18" t="e">
        <f t="shared" si="3"/>
        <v>#DIV/0!</v>
      </c>
      <c r="U27" s="18" t="e">
        <f t="shared" si="3"/>
        <v>#DIV/0!</v>
      </c>
      <c r="V27" s="18" t="e">
        <f t="shared" si="3"/>
        <v>#DIV/0!</v>
      </c>
      <c r="W27" s="18" t="e">
        <f t="shared" si="3"/>
        <v>#DIV/0!</v>
      </c>
      <c r="X27" s="18" t="e">
        <f t="shared" si="3"/>
        <v>#DIV/0!</v>
      </c>
      <c r="Y27" s="18" t="e">
        <f t="shared" si="3"/>
        <v>#DIV/0!</v>
      </c>
      <c r="Z27" s="18" t="e">
        <f t="shared" si="3"/>
        <v>#DIV/0!</v>
      </c>
      <c r="AA27" s="18">
        <f t="shared" si="3"/>
        <v>1.0518929135635296E-5</v>
      </c>
      <c r="AB27" s="18" t="e">
        <f t="shared" si="3"/>
        <v>#DIV/0!</v>
      </c>
      <c r="AC27" s="18">
        <f t="shared" si="3"/>
        <v>3.955089144662605E-5</v>
      </c>
    </row>
    <row r="28" spans="2:29" x14ac:dyDescent="0.45">
      <c r="C28" s="18">
        <f>_xlfn.STDEV.S(C29:C43)</f>
        <v>6.7819589726097554E-5</v>
      </c>
      <c r="D28" s="18" t="e">
        <f t="shared" ref="D28:AC28" si="4">_xlfn.STDEV.S(D29:D43)</f>
        <v>#DIV/0!</v>
      </c>
      <c r="E28" s="18" t="e">
        <f t="shared" si="4"/>
        <v>#DIV/0!</v>
      </c>
      <c r="F28" s="18" t="e">
        <f t="shared" si="4"/>
        <v>#DIV/0!</v>
      </c>
      <c r="G28" s="18" t="e">
        <f t="shared" si="4"/>
        <v>#DIV/0!</v>
      </c>
      <c r="H28" s="18" t="e">
        <f t="shared" si="4"/>
        <v>#DIV/0!</v>
      </c>
      <c r="I28" s="18" t="e">
        <f t="shared" si="4"/>
        <v>#DIV/0!</v>
      </c>
      <c r="J28" s="18" t="e">
        <f t="shared" si="4"/>
        <v>#DIV/0!</v>
      </c>
      <c r="K28" s="18" t="e">
        <f t="shared" si="4"/>
        <v>#DIV/0!</v>
      </c>
      <c r="L28" s="18" t="e">
        <f t="shared" si="4"/>
        <v>#DIV/0!</v>
      </c>
      <c r="M28" s="18" t="e">
        <f t="shared" si="4"/>
        <v>#DIV/0!</v>
      </c>
      <c r="N28" s="18" t="e">
        <f t="shared" si="4"/>
        <v>#DIV/0!</v>
      </c>
      <c r="O28" s="18" t="e">
        <f t="shared" si="4"/>
        <v>#DIV/0!</v>
      </c>
      <c r="P28" s="18" t="e">
        <f t="shared" si="4"/>
        <v>#DIV/0!</v>
      </c>
      <c r="Q28" s="18" t="e">
        <f t="shared" si="4"/>
        <v>#DIV/0!</v>
      </c>
      <c r="R28" s="18" t="e">
        <f t="shared" si="4"/>
        <v>#DIV/0!</v>
      </c>
      <c r="S28" s="18" t="e">
        <f t="shared" si="4"/>
        <v>#DIV/0!</v>
      </c>
      <c r="T28" s="18" t="e">
        <f t="shared" si="4"/>
        <v>#DIV/0!</v>
      </c>
      <c r="U28" s="18" t="e">
        <f t="shared" si="4"/>
        <v>#DIV/0!</v>
      </c>
      <c r="V28" s="18" t="e">
        <f t="shared" si="4"/>
        <v>#DIV/0!</v>
      </c>
      <c r="W28" s="18" t="e">
        <f t="shared" si="4"/>
        <v>#DIV/0!</v>
      </c>
      <c r="X28" s="18" t="e">
        <f t="shared" si="4"/>
        <v>#DIV/0!</v>
      </c>
      <c r="Y28" s="18" t="e">
        <f t="shared" si="4"/>
        <v>#DIV/0!</v>
      </c>
      <c r="Z28" s="18" t="e">
        <f t="shared" si="4"/>
        <v>#DIV/0!</v>
      </c>
      <c r="AA28" s="18">
        <f t="shared" si="4"/>
        <v>1.5409613757239014E-6</v>
      </c>
      <c r="AB28" s="18" t="e">
        <f t="shared" si="4"/>
        <v>#DIV/0!</v>
      </c>
      <c r="AC28" s="18" t="e">
        <f t="shared" si="4"/>
        <v>#DIV/0!</v>
      </c>
    </row>
    <row r="29" spans="2:29" x14ac:dyDescent="0.45">
      <c r="C29">
        <v>1.7543302866170161E-4</v>
      </c>
      <c r="AA29">
        <v>1.1608553373956217E-5</v>
      </c>
      <c r="AC29">
        <v>3.955089144662605E-5</v>
      </c>
    </row>
    <row r="30" spans="2:29" x14ac:dyDescent="0.45">
      <c r="C30">
        <v>2.4476698262243285E-4</v>
      </c>
      <c r="AA30">
        <v>9.4293048973143737E-6</v>
      </c>
    </row>
    <row r="31" spans="2:29" x14ac:dyDescent="0.45">
      <c r="C31">
        <v>1.2315222297449782E-4</v>
      </c>
    </row>
    <row r="32" spans="2:29" x14ac:dyDescent="0.45">
      <c r="C32">
        <v>8.9067084179643405E-5</v>
      </c>
    </row>
  </sheetData>
  <mergeCells count="9">
    <mergeCell ref="T25:V25"/>
    <mergeCell ref="F4:I4"/>
    <mergeCell ref="L4:S4"/>
    <mergeCell ref="T4:V4"/>
    <mergeCell ref="B6:B11"/>
    <mergeCell ref="D4:E4"/>
    <mergeCell ref="D25:E25"/>
    <mergeCell ref="F25:I25"/>
    <mergeCell ref="L25:S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Optimisation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Penguin Time</cp:lastModifiedBy>
  <dcterms:created xsi:type="dcterms:W3CDTF">2025-07-09T14:23:52Z</dcterms:created>
  <dcterms:modified xsi:type="dcterms:W3CDTF">2026-01-24T09:24:30Z</dcterms:modified>
</cp:coreProperties>
</file>