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77" documentId="11_3B4CFA6566919563CB2342BDA0DF4DE06E5792DC" xr6:coauthVersionLast="47" xr6:coauthVersionMax="47" xr10:uidLastSave="{11E8C572-E880-481D-9884-D170D5EE78A5}"/>
  <bookViews>
    <workbookView xWindow="-98" yWindow="-98" windowWidth="21795" windowHeight="13875" xr2:uid="{00000000-000D-0000-FFFF-FFFF00000000}"/>
  </bookViews>
  <sheets>
    <sheet name="Tabelle1" sheetId="1" r:id="rId1"/>
    <sheet name="Tabelle2" sheetId="2" r:id="rId2"/>
    <sheet name="Tabelle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7" i="1" l="1"/>
  <c r="O46" i="1"/>
  <c r="S4" i="1"/>
  <c r="T4" i="1"/>
  <c r="S5" i="1"/>
  <c r="T5" i="1"/>
  <c r="S6" i="1"/>
  <c r="T6" i="1"/>
  <c r="S7" i="1"/>
  <c r="T7" i="1"/>
  <c r="S8" i="1"/>
  <c r="T8" i="1"/>
  <c r="S9" i="1"/>
  <c r="T9" i="1"/>
  <c r="S10" i="1"/>
  <c r="T10" i="1"/>
  <c r="S11" i="1"/>
  <c r="T11" i="1"/>
  <c r="S12" i="1"/>
  <c r="T12" i="1"/>
  <c r="S13" i="1"/>
  <c r="T13" i="1"/>
  <c r="S14" i="1"/>
  <c r="T14" i="1"/>
  <c r="S15" i="1"/>
  <c r="T15" i="1"/>
  <c r="S16" i="1"/>
  <c r="T16" i="1"/>
  <c r="S17" i="1"/>
  <c r="T17" i="1"/>
  <c r="S18" i="1"/>
  <c r="T18" i="1"/>
  <c r="S19" i="1"/>
  <c r="T19" i="1"/>
  <c r="S20" i="1"/>
  <c r="T20" i="1"/>
  <c r="S21" i="1"/>
  <c r="T21" i="1"/>
  <c r="S22" i="1"/>
  <c r="T22" i="1"/>
  <c r="S23" i="1"/>
  <c r="T23" i="1"/>
  <c r="T3" i="1"/>
  <c r="S3" i="1"/>
</calcChain>
</file>

<file path=xl/sharedStrings.xml><?xml version="1.0" encoding="utf-8"?>
<sst xmlns="http://schemas.openxmlformats.org/spreadsheetml/2006/main" count="107" uniqueCount="28">
  <si>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</si>
  <si>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</si>
  <si>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</si>
  <si>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</si>
  <si>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</si>
  <si>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</si>
  <si>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</si>
  <si>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</si>
  <si>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</si>
  <si>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</si>
  <si>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</si>
  <si>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</si>
  <si>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</si>
  <si>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</si>
  <si>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</si>
  <si>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</si>
  <si>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</si>
  <si>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</si>
  <si>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</si>
  <si>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</si>
  <si>
    <t>K</t>
  </si>
  <si>
    <t>n</t>
  </si>
  <si>
    <t>Power</t>
  </si>
  <si>
    <t>Anmerkung: da ich eta und nicht sigma verwende, ist der Exponent (n-1)</t>
  </si>
  <si>
    <t>linear</t>
  </si>
  <si>
    <t>log(K)</t>
  </si>
  <si>
    <t>(n-1)</t>
  </si>
  <si>
    <t>n-1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</si>
</sst>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Tabelle1!$J$2</c:f>
              <c:strCache>
                <c:ptCount val="1"/>
                <c:pt idx="0">
                  <c:v>eta (Pas)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</c:trendlineLbl>
          </c:trendline>
          <c:xVal>
            <c:numRef>
              <c:f>Tabelle1!$I$3:$I$16</c:f>
              <c:numCache>
                <c:formatCode>0.00E+00</c:formatCode>
                <c:ptCount val="14"/>
                <c:pt idx="0">
                  <c:v>9.9979999999999999E-2</c:v>
                </c:pt>
                <c:pt idx="1">
                  <c:v>0.1585</c:v>
                </c:pt>
                <c:pt idx="2">
                  <c:v>0.25119999999999998</c:v>
                </c:pt>
                <c:pt idx="3">
                  <c:v>0.39810000000000001</c:v>
                </c:pt>
                <c:pt idx="4">
                  <c:v>0.63100000000000001</c:v>
                </c:pt>
                <c:pt idx="5">
                  <c:v>1</c:v>
                </c:pt>
                <c:pt idx="6">
                  <c:v>1.585</c:v>
                </c:pt>
                <c:pt idx="7">
                  <c:v>2.512</c:v>
                </c:pt>
                <c:pt idx="8">
                  <c:v>3.9809999999999999</c:v>
                </c:pt>
                <c:pt idx="9">
                  <c:v>6.31</c:v>
                </c:pt>
                <c:pt idx="10">
                  <c:v>10</c:v>
                </c:pt>
                <c:pt idx="11">
                  <c:v>15.85</c:v>
                </c:pt>
                <c:pt idx="12">
                  <c:v>25.12</c:v>
                </c:pt>
                <c:pt idx="13">
                  <c:v>39.81</c:v>
                </c:pt>
              </c:numCache>
            </c:numRef>
          </c:xVal>
          <c:yVal>
            <c:numRef>
              <c:f>Tabelle1!$J$3:$J$16</c:f>
              <c:numCache>
                <c:formatCode>0.00E+00</c:formatCode>
                <c:ptCount val="14"/>
                <c:pt idx="0">
                  <c:v>0.36280000000000001</c:v>
                </c:pt>
                <c:pt idx="1">
                  <c:v>0.1953</c:v>
                </c:pt>
                <c:pt idx="2">
                  <c:v>0.1263</c:v>
                </c:pt>
                <c:pt idx="3">
                  <c:v>8.4879999999999997E-2</c:v>
                </c:pt>
                <c:pt idx="4">
                  <c:v>5.1950000000000003E-2</c:v>
                </c:pt>
                <c:pt idx="5">
                  <c:v>3.4970000000000001E-2</c:v>
                </c:pt>
                <c:pt idx="6">
                  <c:v>2.4719999999999999E-2</c:v>
                </c:pt>
                <c:pt idx="7">
                  <c:v>1.529E-2</c:v>
                </c:pt>
                <c:pt idx="8">
                  <c:v>9.476E-3</c:v>
                </c:pt>
                <c:pt idx="9">
                  <c:v>5.2440000000000004E-3</c:v>
                </c:pt>
                <c:pt idx="10">
                  <c:v>3.068E-3</c:v>
                </c:pt>
                <c:pt idx="11">
                  <c:v>1.823E-3</c:v>
                </c:pt>
                <c:pt idx="12">
                  <c:v>1.2179999999999999E-3</c:v>
                </c:pt>
                <c:pt idx="13">
                  <c:v>8.8699999999999998E-4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58-4D66-860F-2A097B618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74064"/>
        <c:axId val="63481264"/>
      </c:scatterChart>
      <c:valAx>
        <c:axId val="6347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3481264"/>
        <c:crosses val="autoZero"/>
        <c:crossBetween val="midCat"/>
      </c:valAx>
      <c:valAx>
        <c:axId val="6348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3474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Tabelle1!$J$2</c:f>
              <c:strCache>
                <c:ptCount val="1"/>
                <c:pt idx="0">
                  <c:v>eta (Pas)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</c:trendlineLbl>
          </c:trendline>
          <c:xVal>
            <c:numRef>
              <c:f>Tabelle1!$S$3:$S$16</c:f>
              <c:numCache>
                <c:formatCode>General</c:formatCode>
                <c:ptCount val="14"/>
                <c:pt idx="0">
                  <c:v>-1.0000868675834287</c:v>
                </c:pt>
                <c:pt idx="1">
                  <c:v>-0.79997073344622971</c:v>
                </c:pt>
                <c:pt idx="2">
                  <c:v>-0.59998036493484153</c:v>
                </c:pt>
                <c:pt idx="3">
                  <c:v>-0.40000782241590205</c:v>
                </c:pt>
                <c:pt idx="4">
                  <c:v>-0.19997064075586568</c:v>
                </c:pt>
                <c:pt idx="5">
                  <c:v>0</c:v>
                </c:pt>
                <c:pt idx="6">
                  <c:v>0.20002926655377029</c:v>
                </c:pt>
                <c:pt idx="7">
                  <c:v>0.40001963506515853</c:v>
                </c:pt>
                <c:pt idx="8">
                  <c:v>0.59999217758409795</c:v>
                </c:pt>
                <c:pt idx="9">
                  <c:v>0.80002935924413432</c:v>
                </c:pt>
                <c:pt idx="10">
                  <c:v>1</c:v>
                </c:pt>
                <c:pt idx="11">
                  <c:v>1.2000292665537702</c:v>
                </c:pt>
                <c:pt idx="12">
                  <c:v>1.4000196350651586</c:v>
                </c:pt>
                <c:pt idx="13">
                  <c:v>1.599992177584098</c:v>
                </c:pt>
              </c:numCache>
            </c:numRef>
          </c:xVal>
          <c:yVal>
            <c:numRef>
              <c:f>Tabelle1!$T$3:$T$16</c:f>
              <c:numCache>
                <c:formatCode>General</c:formatCode>
                <c:ptCount val="14"/>
                <c:pt idx="0">
                  <c:v>-0.44033272161194231</c:v>
                </c:pt>
                <c:pt idx="1">
                  <c:v>-0.70929775671214557</c:v>
                </c:pt>
                <c:pt idx="2">
                  <c:v>-0.89859664944466922</c:v>
                </c:pt>
                <c:pt idx="3">
                  <c:v>-1.0711946291067158</c:v>
                </c:pt>
                <c:pt idx="4">
                  <c:v>-1.2844144481068038</c:v>
                </c:pt>
                <c:pt idx="5">
                  <c:v>-1.4563043676907552</c:v>
                </c:pt>
                <c:pt idx="6">
                  <c:v>-1.6069515335832218</c:v>
                </c:pt>
                <c:pt idx="7">
                  <c:v>-1.8155925145876799</c:v>
                </c:pt>
                <c:pt idx="8">
                  <c:v>-2.0233749479492724</c:v>
                </c:pt>
                <c:pt idx="9">
                  <c:v>-2.2803373169819534</c:v>
                </c:pt>
                <c:pt idx="10">
                  <c:v>-2.5131446447230568</c:v>
                </c:pt>
                <c:pt idx="11">
                  <c:v>-2.7392133313450238</c:v>
                </c:pt>
                <c:pt idx="12">
                  <c:v>-2.9143527117031436</c:v>
                </c:pt>
                <c:pt idx="13">
                  <c:v>-3.0520763801682738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64-41F4-8B76-3E68CAEF4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74064"/>
        <c:axId val="63481264"/>
      </c:scatterChart>
      <c:valAx>
        <c:axId val="6347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3481264"/>
        <c:crosses val="autoZero"/>
        <c:crossBetween val="midCat"/>
      </c:valAx>
      <c:valAx>
        <c:axId val="6348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3474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157326</xdr:colOff>
      <xdr:row>24</xdr:row>
      <xdr:rowOff>10411</xdr:rowOff>
    </xdr:from>
    <xdr:to>
      <xdr:col>9</xdr:col>
      <xdr:colOff>162089</xdr:colOff>
      <xdr:row>39</xdr:row>
      <xdr:rowOff>38986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192F9B-98E5-BAD6-F09C-B4C2B5F891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55379</xdr:colOff>
      <xdr:row>52</xdr:row>
      <xdr:rowOff>49840</xdr:rowOff>
    </xdr:from>
    <xdr:to>
      <xdr:col>20</xdr:col>
      <xdr:colOff>322090</xdr:colOff>
      <xdr:row>72</xdr:row>
      <xdr:rowOff>87947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3C6E34-5C8D-64CD-C9B5-B958C2D0E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6891" y="9552689"/>
          <a:ext cx="5494385" cy="3693049"/>
        </a:xfrm>
        <a:prstGeom prst="rect">
          <a:avLst/>
        </a:prstGeom>
      </xdr:spPr>
    </xdr:pic>
    <xdr:clientData/>
  </xdr:twoCellAnchor>
  <xdr:twoCellAnchor>
    <xdr:from>
      <xdr:col>2</xdr:col>
      <xdr:colOff>166133</xdr:colOff>
      <xdr:row>44</xdr:row>
      <xdr:rowOff>49840</xdr:rowOff>
    </xdr:from>
    <xdr:to>
      <xdr:col>9</xdr:col>
      <xdr:colOff>170896</xdr:colOff>
      <xdr:row>59</xdr:row>
      <xdr:rowOff>78415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FA4CB6-5919-4E56-9405-A6399ABFBA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47"/>
  <sheetViews>
    <sheetView tabSelected="1" topLeftCell="B26" zoomScale="82" workbookViewId="0">
      <selection activeCell="L36" sqref="L36"/>
    </sheetView>
  </sheetViews>
  <sheetFormatPr defaultColWidth="9.1328125" defaultRowHeight="14.25" x14ac:dyDescent="0.45"/>
  <sheetData>
    <row r="2" spans="2:20" x14ac:dyDescent="0.4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8</v>
      </c>
      <c r="T2" t="s">
        <v>9</v>
      </c>
    </row>
    <row r="3" spans="2:20" x14ac:dyDescent="0.45">
      <c r="B3">
        <v>1</v>
      </c>
      <c r="C3" t="s">
        <v>19</v>
      </c>
      <c r="D3" t="s">
        <v>0</v>
      </c>
      <c r="E3" s="1">
        <v>992.2</v>
      </c>
      <c r="F3">
        <v>90</v>
      </c>
      <c r="G3">
        <v>30</v>
      </c>
      <c r="H3" s="1">
        <v>3.628E-2</v>
      </c>
      <c r="I3" s="1">
        <v>9.9979999999999999E-2</v>
      </c>
      <c r="J3" s="1">
        <v>0.36280000000000001</v>
      </c>
      <c r="K3" s="1">
        <v>-1.7430000000000001E-2</v>
      </c>
      <c r="L3" t="s">
        <v>1</v>
      </c>
      <c r="M3">
        <v>1</v>
      </c>
      <c r="N3" s="1">
        <v>2.1730000000000002E-6</v>
      </c>
      <c r="O3" s="1">
        <v>8.6759999999999997E-3</v>
      </c>
      <c r="P3">
        <v>1.052</v>
      </c>
      <c r="Q3" s="1">
        <v>6.1149999999999998E-3</v>
      </c>
      <c r="R3" t="s">
        <v>18</v>
      </c>
      <c r="S3">
        <f>LOG(I3)</f>
        <v>-1.0000868675834287</v>
      </c>
      <c r="T3">
        <f>LOG(J3)</f>
        <v>-0.44033272161194231</v>
      </c>
    </row>
    <row r="4" spans="2:20" x14ac:dyDescent="0.45">
      <c r="B4">
        <v>2</v>
      </c>
      <c r="C4" t="s">
        <v>19</v>
      </c>
      <c r="D4" t="s">
        <v>0</v>
      </c>
      <c r="E4" s="1">
        <v>1082</v>
      </c>
      <c r="F4">
        <v>180</v>
      </c>
      <c r="G4">
        <v>30</v>
      </c>
      <c r="H4" s="1">
        <v>3.0949999999999998E-2</v>
      </c>
      <c r="I4" s="1">
        <v>0.1585</v>
      </c>
      <c r="J4" s="1">
        <v>0.1953</v>
      </c>
      <c r="K4" s="1">
        <v>-1.821E-2</v>
      </c>
      <c r="L4" t="s">
        <v>1</v>
      </c>
      <c r="M4">
        <v>1</v>
      </c>
      <c r="N4" s="1">
        <v>1.854E-6</v>
      </c>
      <c r="O4" s="1">
        <v>1.375E-2</v>
      </c>
      <c r="P4">
        <v>1.0129999999999999</v>
      </c>
      <c r="Q4" s="1">
        <v>1.244</v>
      </c>
      <c r="R4" t="s">
        <v>18</v>
      </c>
      <c r="S4">
        <f t="shared" ref="S4:S23" si="0">LOG(I4)</f>
        <v>-0.79997073344622971</v>
      </c>
      <c r="T4">
        <f t="shared" ref="T4:T23" si="1">LOG(J4)</f>
        <v>-0.70929775671214557</v>
      </c>
    </row>
    <row r="5" spans="2:20" x14ac:dyDescent="0.45">
      <c r="B5">
        <v>3</v>
      </c>
      <c r="C5" t="s">
        <v>19</v>
      </c>
      <c r="D5" t="s">
        <v>0</v>
      </c>
      <c r="E5" s="1">
        <v>1172</v>
      </c>
      <c r="F5">
        <v>270</v>
      </c>
      <c r="G5">
        <v>30</v>
      </c>
      <c r="H5" s="1">
        <v>3.1719999999999998E-2</v>
      </c>
      <c r="I5" s="1">
        <v>0.25119999999999998</v>
      </c>
      <c r="J5" s="1">
        <v>0.1263</v>
      </c>
      <c r="K5" s="1">
        <v>-1.8939999999999999E-2</v>
      </c>
      <c r="L5" t="s">
        <v>1</v>
      </c>
      <c r="M5">
        <v>1</v>
      </c>
      <c r="N5" s="1">
        <v>1.9E-6</v>
      </c>
      <c r="O5" s="1">
        <v>2.18E-2</v>
      </c>
      <c r="P5" s="1">
        <v>0.97970000000000002</v>
      </c>
      <c r="Q5" s="1">
        <v>3.2050000000000001</v>
      </c>
      <c r="R5" t="s">
        <v>18</v>
      </c>
      <c r="S5">
        <f t="shared" si="0"/>
        <v>-0.59998036493484153</v>
      </c>
      <c r="T5">
        <f t="shared" si="1"/>
        <v>-0.89859664944466922</v>
      </c>
    </row>
    <row r="6" spans="2:20" x14ac:dyDescent="0.45">
      <c r="B6">
        <v>4</v>
      </c>
      <c r="C6" t="s">
        <v>19</v>
      </c>
      <c r="D6" t="s">
        <v>0</v>
      </c>
      <c r="E6" s="1">
        <v>1262</v>
      </c>
      <c r="F6">
        <v>360</v>
      </c>
      <c r="G6">
        <v>30</v>
      </c>
      <c r="H6" s="1">
        <v>3.3790000000000001E-2</v>
      </c>
      <c r="I6" s="1">
        <v>0.39810000000000001</v>
      </c>
      <c r="J6" s="1">
        <v>8.4879999999999997E-2</v>
      </c>
      <c r="K6" s="1">
        <v>-1.8360000000000001E-2</v>
      </c>
      <c r="L6" t="s">
        <v>1</v>
      </c>
      <c r="M6">
        <v>1</v>
      </c>
      <c r="N6" s="1">
        <v>2.024E-6</v>
      </c>
      <c r="O6" s="1">
        <v>3.4549999999999997E-2</v>
      </c>
      <c r="P6">
        <v>1.0049999999999999</v>
      </c>
      <c r="Q6" s="1">
        <v>3.1050000000000001E-2</v>
      </c>
      <c r="R6" t="s">
        <v>18</v>
      </c>
      <c r="S6">
        <f t="shared" si="0"/>
        <v>-0.40000782241590205</v>
      </c>
      <c r="T6">
        <f t="shared" si="1"/>
        <v>-1.0711946291067158</v>
      </c>
    </row>
    <row r="7" spans="2:20" x14ac:dyDescent="0.45">
      <c r="B7">
        <v>5</v>
      </c>
      <c r="C7" t="s">
        <v>19</v>
      </c>
      <c r="D7" t="s">
        <v>0</v>
      </c>
      <c r="E7" s="1">
        <v>1352</v>
      </c>
      <c r="F7">
        <v>450</v>
      </c>
      <c r="G7">
        <v>30</v>
      </c>
      <c r="H7" s="1">
        <v>3.2779999999999997E-2</v>
      </c>
      <c r="I7" s="1">
        <v>0.63100000000000001</v>
      </c>
      <c r="J7" s="1">
        <v>5.1950000000000003E-2</v>
      </c>
      <c r="K7" s="1">
        <v>-1.9120000000000002E-2</v>
      </c>
      <c r="L7" t="s">
        <v>1</v>
      </c>
      <c r="M7">
        <v>1</v>
      </c>
      <c r="N7" s="1">
        <v>1.9630000000000001E-6</v>
      </c>
      <c r="O7" s="1">
        <v>5.475E-2</v>
      </c>
      <c r="P7">
        <v>1.1060000000000001</v>
      </c>
      <c r="Q7" s="1">
        <v>4.9580000000000002</v>
      </c>
      <c r="R7" t="s">
        <v>18</v>
      </c>
      <c r="S7">
        <f t="shared" si="0"/>
        <v>-0.19997064075586568</v>
      </c>
      <c r="T7">
        <f t="shared" si="1"/>
        <v>-1.2844144481068038</v>
      </c>
    </row>
    <row r="8" spans="2:20" x14ac:dyDescent="0.45">
      <c r="B8">
        <v>6</v>
      </c>
      <c r="C8" t="s">
        <v>19</v>
      </c>
      <c r="D8" t="s">
        <v>0</v>
      </c>
      <c r="E8" s="1">
        <v>1442</v>
      </c>
      <c r="F8">
        <v>540</v>
      </c>
      <c r="G8">
        <v>30</v>
      </c>
      <c r="H8" s="1">
        <v>3.4979999999999997E-2</v>
      </c>
      <c r="I8" s="1">
        <v>1</v>
      </c>
      <c r="J8" s="1">
        <v>3.4970000000000001E-2</v>
      </c>
      <c r="K8" s="1">
        <v>-1.9539999999999998E-2</v>
      </c>
      <c r="L8" t="s">
        <v>1</v>
      </c>
      <c r="M8">
        <v>1</v>
      </c>
      <c r="N8" s="1">
        <v>2.0949999999999998E-6</v>
      </c>
      <c r="O8" s="1">
        <v>8.6790000000000006E-2</v>
      </c>
      <c r="P8">
        <v>0.88239999999999996</v>
      </c>
      <c r="Q8" s="1">
        <v>0.20130000000000001</v>
      </c>
      <c r="R8" t="s">
        <v>18</v>
      </c>
      <c r="S8">
        <f t="shared" si="0"/>
        <v>0</v>
      </c>
      <c r="T8">
        <f t="shared" si="1"/>
        <v>-1.4563043676907552</v>
      </c>
    </row>
    <row r="9" spans="2:20" x14ac:dyDescent="0.45">
      <c r="B9">
        <v>7</v>
      </c>
      <c r="C9" t="s">
        <v>19</v>
      </c>
      <c r="D9" t="s">
        <v>0</v>
      </c>
      <c r="E9" s="1">
        <v>1532</v>
      </c>
      <c r="F9">
        <v>630</v>
      </c>
      <c r="G9">
        <v>30</v>
      </c>
      <c r="H9" s="1">
        <v>3.918E-2</v>
      </c>
      <c r="I9" s="1">
        <v>1.585</v>
      </c>
      <c r="J9" s="1">
        <v>2.4719999999999999E-2</v>
      </c>
      <c r="K9" s="1">
        <v>-1.9400000000000001E-2</v>
      </c>
      <c r="L9" t="s">
        <v>1</v>
      </c>
      <c r="M9">
        <v>1</v>
      </c>
      <c r="N9" s="1">
        <v>2.3460000000000001E-6</v>
      </c>
      <c r="O9" s="1">
        <v>0.13750000000000001</v>
      </c>
      <c r="P9">
        <v>0.90429999999999999</v>
      </c>
      <c r="Q9" s="1">
        <v>1.085E-2</v>
      </c>
      <c r="R9" t="s">
        <v>18</v>
      </c>
      <c r="S9">
        <f t="shared" si="0"/>
        <v>0.20002926655377029</v>
      </c>
      <c r="T9">
        <f t="shared" si="1"/>
        <v>-1.6069515335832218</v>
      </c>
    </row>
    <row r="10" spans="2:20" x14ac:dyDescent="0.45">
      <c r="B10">
        <v>8</v>
      </c>
      <c r="C10" t="s">
        <v>19</v>
      </c>
      <c r="D10" t="s">
        <v>0</v>
      </c>
      <c r="E10" s="1">
        <v>1622</v>
      </c>
      <c r="F10">
        <v>720</v>
      </c>
      <c r="G10">
        <v>30</v>
      </c>
      <c r="H10" s="1">
        <v>3.841E-2</v>
      </c>
      <c r="I10" s="1">
        <v>2.512</v>
      </c>
      <c r="J10" s="1">
        <v>1.529E-2</v>
      </c>
      <c r="K10" s="1">
        <v>-1.9630000000000002E-2</v>
      </c>
      <c r="L10" t="s">
        <v>1</v>
      </c>
      <c r="M10">
        <v>1</v>
      </c>
      <c r="N10" s="1">
        <v>2.3E-6</v>
      </c>
      <c r="O10" s="1">
        <v>0.218</v>
      </c>
      <c r="P10">
        <v>1.087</v>
      </c>
      <c r="Q10" s="1">
        <v>0.77639999999999998</v>
      </c>
      <c r="R10" t="s">
        <v>18</v>
      </c>
      <c r="S10">
        <f t="shared" si="0"/>
        <v>0.40001963506515853</v>
      </c>
      <c r="T10">
        <f t="shared" si="1"/>
        <v>-1.8155925145876799</v>
      </c>
    </row>
    <row r="11" spans="2:20" x14ac:dyDescent="0.45">
      <c r="B11">
        <v>9</v>
      </c>
      <c r="C11" t="s">
        <v>19</v>
      </c>
      <c r="D11" t="s">
        <v>0</v>
      </c>
      <c r="E11" s="1">
        <v>1712</v>
      </c>
      <c r="F11">
        <v>810.1</v>
      </c>
      <c r="G11">
        <v>30</v>
      </c>
      <c r="H11" s="1">
        <v>3.773E-2</v>
      </c>
      <c r="I11" s="1">
        <v>3.9809999999999999</v>
      </c>
      <c r="J11" s="1">
        <v>9.476E-3</v>
      </c>
      <c r="K11" s="1">
        <v>-1.9789999999999999E-2</v>
      </c>
      <c r="L11" t="s">
        <v>1</v>
      </c>
      <c r="M11">
        <v>1</v>
      </c>
      <c r="N11" s="1">
        <v>2.2589999999999999E-6</v>
      </c>
      <c r="O11" s="1">
        <v>0.34549999999999997</v>
      </c>
      <c r="P11">
        <v>0.9919</v>
      </c>
      <c r="Q11" s="1">
        <v>0.45100000000000001</v>
      </c>
      <c r="R11" t="s">
        <v>18</v>
      </c>
      <c r="S11">
        <f t="shared" si="0"/>
        <v>0.59999217758409795</v>
      </c>
      <c r="T11">
        <f t="shared" si="1"/>
        <v>-2.0233749479492724</v>
      </c>
    </row>
    <row r="12" spans="2:20" x14ac:dyDescent="0.45">
      <c r="B12">
        <v>10</v>
      </c>
      <c r="C12" t="s">
        <v>19</v>
      </c>
      <c r="D12" t="s">
        <v>0</v>
      </c>
      <c r="E12" s="1">
        <v>1802</v>
      </c>
      <c r="F12">
        <v>900.1</v>
      </c>
      <c r="G12">
        <v>30</v>
      </c>
      <c r="H12" s="1">
        <v>3.3090000000000001E-2</v>
      </c>
      <c r="I12" s="1">
        <v>6.31</v>
      </c>
      <c r="J12" s="1">
        <v>5.2440000000000004E-3</v>
      </c>
      <c r="K12" s="1">
        <v>-2.0559999999999998E-2</v>
      </c>
      <c r="L12" t="s">
        <v>1</v>
      </c>
      <c r="M12">
        <v>1</v>
      </c>
      <c r="N12" s="1">
        <v>1.9819999999999998E-6</v>
      </c>
      <c r="O12" s="1">
        <v>0.54759999999999998</v>
      </c>
      <c r="P12">
        <v>0.98019999999999996</v>
      </c>
      <c r="Q12" s="1">
        <v>5.7430000000000003</v>
      </c>
      <c r="R12" t="s">
        <v>18</v>
      </c>
      <c r="S12">
        <f t="shared" si="0"/>
        <v>0.80002935924413432</v>
      </c>
      <c r="T12">
        <f t="shared" si="1"/>
        <v>-2.2803373169819534</v>
      </c>
    </row>
    <row r="13" spans="2:20" x14ac:dyDescent="0.45">
      <c r="B13">
        <v>11</v>
      </c>
      <c r="C13" t="s">
        <v>19</v>
      </c>
      <c r="D13" t="s">
        <v>0</v>
      </c>
      <c r="E13" s="1">
        <v>1892</v>
      </c>
      <c r="F13">
        <v>990.1</v>
      </c>
      <c r="G13">
        <v>30</v>
      </c>
      <c r="H13" s="1">
        <v>3.0679999999999999E-2</v>
      </c>
      <c r="I13" s="1">
        <v>10</v>
      </c>
      <c r="J13" s="1">
        <v>3.068E-3</v>
      </c>
      <c r="K13" s="1">
        <v>-2.017E-2</v>
      </c>
      <c r="L13" t="s">
        <v>1</v>
      </c>
      <c r="M13">
        <v>1</v>
      </c>
      <c r="N13" s="1">
        <v>1.8369999999999999E-6</v>
      </c>
      <c r="O13" s="1">
        <v>0.86780000000000002</v>
      </c>
      <c r="P13">
        <v>1.0029999999999999</v>
      </c>
      <c r="Q13">
        <v>2.1480000000000001</v>
      </c>
      <c r="R13" t="s">
        <v>18</v>
      </c>
      <c r="S13">
        <f t="shared" si="0"/>
        <v>1</v>
      </c>
      <c r="T13">
        <f t="shared" si="1"/>
        <v>-2.5131446447230568</v>
      </c>
    </row>
    <row r="14" spans="2:20" x14ac:dyDescent="0.45">
      <c r="B14">
        <v>12</v>
      </c>
      <c r="C14" t="s">
        <v>19</v>
      </c>
      <c r="D14" t="s">
        <v>0</v>
      </c>
      <c r="E14" s="1">
        <v>1982</v>
      </c>
      <c r="F14" s="1">
        <v>1080</v>
      </c>
      <c r="G14">
        <v>30</v>
      </c>
      <c r="H14" s="1">
        <v>2.8899999999999999E-2</v>
      </c>
      <c r="I14" s="1">
        <v>15.85</v>
      </c>
      <c r="J14" s="1">
        <v>1.823E-3</v>
      </c>
      <c r="K14" s="1">
        <v>-2.001E-2</v>
      </c>
      <c r="L14" t="s">
        <v>1</v>
      </c>
      <c r="M14">
        <v>1</v>
      </c>
      <c r="N14" s="1">
        <v>1.731E-6</v>
      </c>
      <c r="O14" s="1">
        <v>1.375</v>
      </c>
      <c r="P14">
        <v>0.99660000000000004</v>
      </c>
      <c r="Q14">
        <v>0.2525</v>
      </c>
      <c r="R14" t="s">
        <v>18</v>
      </c>
      <c r="S14">
        <f t="shared" si="0"/>
        <v>1.2000292665537702</v>
      </c>
      <c r="T14">
        <f t="shared" si="1"/>
        <v>-2.7392133313450238</v>
      </c>
    </row>
    <row r="15" spans="2:20" x14ac:dyDescent="0.45">
      <c r="B15">
        <v>13</v>
      </c>
      <c r="C15" t="s">
        <v>19</v>
      </c>
      <c r="D15" t="s">
        <v>0</v>
      </c>
      <c r="E15" s="1">
        <v>2072</v>
      </c>
      <c r="F15" s="1">
        <v>1170</v>
      </c>
      <c r="G15">
        <v>30</v>
      </c>
      <c r="H15" s="1">
        <v>3.0609999999999998E-2</v>
      </c>
      <c r="I15" s="1">
        <v>25.12</v>
      </c>
      <c r="J15" s="1">
        <v>1.2179999999999999E-3</v>
      </c>
      <c r="K15" s="1">
        <v>-2.0990000000000002E-2</v>
      </c>
      <c r="L15" t="s">
        <v>1</v>
      </c>
      <c r="M15">
        <v>1</v>
      </c>
      <c r="N15" s="1">
        <v>1.8330000000000001E-6</v>
      </c>
      <c r="O15" s="1">
        <v>2.1800000000000002</v>
      </c>
      <c r="P15">
        <v>1.0209999999999999</v>
      </c>
      <c r="Q15">
        <v>1.635</v>
      </c>
      <c r="R15" t="s">
        <v>18</v>
      </c>
      <c r="S15">
        <f t="shared" si="0"/>
        <v>1.4000196350651586</v>
      </c>
      <c r="T15">
        <f t="shared" si="1"/>
        <v>-2.9143527117031436</v>
      </c>
    </row>
    <row r="16" spans="2:20" x14ac:dyDescent="0.45">
      <c r="B16">
        <v>14</v>
      </c>
      <c r="C16" t="s">
        <v>19</v>
      </c>
      <c r="D16" t="s">
        <v>0</v>
      </c>
      <c r="E16" s="1">
        <v>2162</v>
      </c>
      <c r="F16" s="1">
        <v>1260</v>
      </c>
      <c r="G16">
        <v>30</v>
      </c>
      <c r="H16" s="1">
        <v>3.5310000000000001E-2</v>
      </c>
      <c r="I16" s="1">
        <v>39.81</v>
      </c>
      <c r="J16" s="1">
        <v>8.8699999999999998E-4</v>
      </c>
      <c r="K16" s="1">
        <v>-2.1139999999999999E-2</v>
      </c>
      <c r="L16" t="s">
        <v>1</v>
      </c>
      <c r="M16">
        <v>1</v>
      </c>
      <c r="N16" s="1">
        <v>2.1150000000000001E-6</v>
      </c>
      <c r="O16" s="1">
        <v>3.4550000000000001</v>
      </c>
      <c r="P16">
        <v>0.98729999999999996</v>
      </c>
      <c r="Q16">
        <v>4.6269999999999998</v>
      </c>
      <c r="R16" t="s">
        <v>18</v>
      </c>
      <c r="S16">
        <f t="shared" si="0"/>
        <v>1.599992177584098</v>
      </c>
      <c r="T16">
        <f t="shared" si="1"/>
        <v>-3.0520763801682738</v>
      </c>
    </row>
    <row r="17" spans="2:20" x14ac:dyDescent="0.45">
      <c r="B17">
        <v>15</v>
      </c>
      <c r="C17" t="s">
        <v>19</v>
      </c>
      <c r="D17" t="s">
        <v>0</v>
      </c>
      <c r="E17" s="1">
        <v>2252</v>
      </c>
      <c r="F17" s="1">
        <v>1350</v>
      </c>
      <c r="G17">
        <v>30</v>
      </c>
      <c r="H17" s="1">
        <v>6.6900000000000001E-2</v>
      </c>
      <c r="I17" s="1">
        <v>63.1</v>
      </c>
      <c r="J17" s="1">
        <v>1.06E-3</v>
      </c>
      <c r="K17" s="1">
        <v>-2.0910000000000002E-2</v>
      </c>
      <c r="L17" t="s">
        <v>1</v>
      </c>
      <c r="M17">
        <v>1</v>
      </c>
      <c r="N17" s="1">
        <v>4.0060000000000003E-6</v>
      </c>
      <c r="O17" s="1">
        <v>5.476</v>
      </c>
      <c r="P17">
        <v>1.032</v>
      </c>
      <c r="Q17">
        <v>0.99119999999999997</v>
      </c>
      <c r="R17" t="s">
        <v>18</v>
      </c>
      <c r="S17">
        <f t="shared" si="0"/>
        <v>1.8000293592441343</v>
      </c>
      <c r="T17">
        <f t="shared" si="1"/>
        <v>-2.9746941347352296</v>
      </c>
    </row>
    <row r="18" spans="2:20" x14ac:dyDescent="0.45">
      <c r="B18">
        <v>16</v>
      </c>
      <c r="C18" t="s">
        <v>19</v>
      </c>
      <c r="D18" t="s">
        <v>0</v>
      </c>
      <c r="E18" s="1">
        <v>2342</v>
      </c>
      <c r="F18" s="1">
        <v>1440</v>
      </c>
      <c r="G18">
        <v>30</v>
      </c>
      <c r="H18" s="1">
        <v>0.12820000000000001</v>
      </c>
      <c r="I18">
        <v>100</v>
      </c>
      <c r="J18" s="1">
        <v>1.281E-3</v>
      </c>
      <c r="K18" s="1">
        <v>-2.094E-2</v>
      </c>
      <c r="L18" t="s">
        <v>1</v>
      </c>
      <c r="M18">
        <v>1</v>
      </c>
      <c r="N18" s="1">
        <v>7.6750000000000002E-6</v>
      </c>
      <c r="O18" s="1">
        <v>8.6780000000000008</v>
      </c>
      <c r="P18">
        <v>0.99639999999999995</v>
      </c>
      <c r="Q18">
        <v>2.8340000000000001</v>
      </c>
      <c r="R18" t="s">
        <v>18</v>
      </c>
      <c r="S18">
        <f t="shared" si="0"/>
        <v>2</v>
      </c>
      <c r="T18">
        <f t="shared" si="1"/>
        <v>-2.8924508702553138</v>
      </c>
    </row>
    <row r="19" spans="2:20" x14ac:dyDescent="0.45">
      <c r="B19">
        <v>17</v>
      </c>
      <c r="C19" t="s">
        <v>19</v>
      </c>
      <c r="D19" t="s">
        <v>0</v>
      </c>
      <c r="E19" s="1">
        <v>2432</v>
      </c>
      <c r="F19" s="1">
        <v>1530</v>
      </c>
      <c r="G19">
        <v>30</v>
      </c>
      <c r="H19" s="1">
        <v>0.25800000000000001</v>
      </c>
      <c r="I19">
        <v>158.5</v>
      </c>
      <c r="J19" s="1">
        <v>1.6280000000000001E-3</v>
      </c>
      <c r="K19" s="1">
        <v>-2.215E-2</v>
      </c>
      <c r="L19" t="s">
        <v>1</v>
      </c>
      <c r="M19">
        <v>1</v>
      </c>
      <c r="N19" s="1">
        <v>1.5449999999999999E-5</v>
      </c>
      <c r="O19">
        <v>13.75</v>
      </c>
      <c r="P19">
        <v>1.002</v>
      </c>
      <c r="Q19">
        <v>2.6880000000000002</v>
      </c>
      <c r="R19" t="s">
        <v>18</v>
      </c>
      <c r="S19">
        <f t="shared" si="0"/>
        <v>2.2000292665537704</v>
      </c>
      <c r="T19">
        <f t="shared" si="1"/>
        <v>-2.7883455994468176</v>
      </c>
    </row>
    <row r="20" spans="2:20" x14ac:dyDescent="0.45">
      <c r="B20">
        <v>18</v>
      </c>
      <c r="C20" t="s">
        <v>19</v>
      </c>
      <c r="D20" t="s">
        <v>0</v>
      </c>
      <c r="E20" s="1">
        <v>2508</v>
      </c>
      <c r="F20" s="1">
        <v>1606</v>
      </c>
      <c r="G20">
        <v>30</v>
      </c>
      <c r="H20" s="1">
        <v>0.54069999999999996</v>
      </c>
      <c r="I20">
        <v>251.2</v>
      </c>
      <c r="J20" s="1">
        <v>2.1519999999999998E-3</v>
      </c>
      <c r="K20" s="1">
        <v>-2.385E-2</v>
      </c>
      <c r="L20" t="s">
        <v>1</v>
      </c>
      <c r="M20">
        <v>1</v>
      </c>
      <c r="N20" s="1">
        <v>3.2379999999999998E-5</v>
      </c>
      <c r="O20">
        <v>21.8</v>
      </c>
      <c r="P20">
        <v>0.99419999999999997</v>
      </c>
      <c r="Q20">
        <v>0.3281</v>
      </c>
      <c r="S20">
        <f t="shared" si="0"/>
        <v>2.4000196350651586</v>
      </c>
      <c r="T20">
        <f t="shared" si="1"/>
        <v>-2.6671577330056486</v>
      </c>
    </row>
    <row r="21" spans="2:20" x14ac:dyDescent="0.45">
      <c r="B21">
        <v>19</v>
      </c>
      <c r="C21" t="s">
        <v>19</v>
      </c>
      <c r="D21" t="s">
        <v>0</v>
      </c>
      <c r="E21" s="1">
        <v>2532</v>
      </c>
      <c r="F21" s="1">
        <v>1629</v>
      </c>
      <c r="G21">
        <v>30</v>
      </c>
      <c r="H21" s="1">
        <v>1.19</v>
      </c>
      <c r="I21" s="1">
        <v>398.1</v>
      </c>
      <c r="J21" s="1">
        <v>2.9889999999999999E-3</v>
      </c>
      <c r="K21" s="1">
        <v>-2.6200000000000001E-2</v>
      </c>
      <c r="L21" t="s">
        <v>1</v>
      </c>
      <c r="M21">
        <v>1</v>
      </c>
      <c r="N21" s="1">
        <v>7.1260000000000006E-5</v>
      </c>
      <c r="O21">
        <v>34.549999999999997</v>
      </c>
      <c r="P21">
        <v>1.0009999999999999</v>
      </c>
      <c r="Q21">
        <v>0.60389999999999999</v>
      </c>
      <c r="S21">
        <f t="shared" si="0"/>
        <v>2.599992177584098</v>
      </c>
      <c r="T21">
        <f t="shared" si="1"/>
        <v>-2.5244740849607195</v>
      </c>
    </row>
    <row r="22" spans="2:20" x14ac:dyDescent="0.45">
      <c r="B22">
        <v>20</v>
      </c>
      <c r="C22" t="s">
        <v>19</v>
      </c>
      <c r="D22" t="s">
        <v>0</v>
      </c>
      <c r="E22" s="1">
        <v>2555</v>
      </c>
      <c r="F22" s="1">
        <v>1653</v>
      </c>
      <c r="G22">
        <v>30</v>
      </c>
      <c r="H22" s="1">
        <v>2.8730000000000002</v>
      </c>
      <c r="I22">
        <v>631</v>
      </c>
      <c r="J22" s="1">
        <v>4.5519999999999996E-3</v>
      </c>
      <c r="K22" s="1">
        <v>-3.4689999999999999E-2</v>
      </c>
      <c r="L22" t="s">
        <v>1</v>
      </c>
      <c r="M22">
        <v>1</v>
      </c>
      <c r="N22" s="1">
        <v>1.7200000000000001E-4</v>
      </c>
      <c r="O22">
        <v>54.76</v>
      </c>
      <c r="P22">
        <v>1</v>
      </c>
      <c r="Q22">
        <v>0.96689999999999998</v>
      </c>
      <c r="S22">
        <f t="shared" si="0"/>
        <v>2.8000293592441343</v>
      </c>
      <c r="T22">
        <f t="shared" si="1"/>
        <v>-2.3417977466129853</v>
      </c>
    </row>
    <row r="23" spans="2:20" x14ac:dyDescent="0.45">
      <c r="B23">
        <v>21</v>
      </c>
      <c r="C23" t="s">
        <v>19</v>
      </c>
      <c r="D23" t="s">
        <v>0</v>
      </c>
      <c r="E23" s="1">
        <v>2578</v>
      </c>
      <c r="F23" s="1">
        <v>1676</v>
      </c>
      <c r="G23">
        <v>29.99</v>
      </c>
      <c r="H23">
        <v>6.827</v>
      </c>
      <c r="I23" s="1">
        <v>1000</v>
      </c>
      <c r="J23" s="1">
        <v>6.8269999999999997E-3</v>
      </c>
      <c r="K23">
        <v>-5.9769999999999997E-2</v>
      </c>
      <c r="L23" t="s">
        <v>1</v>
      </c>
      <c r="M23">
        <v>1</v>
      </c>
      <c r="N23" s="1">
        <v>4.0890000000000002E-4</v>
      </c>
      <c r="O23">
        <v>86.78</v>
      </c>
      <c r="P23">
        <v>1.004</v>
      </c>
      <c r="Q23">
        <v>2.2069999999999999</v>
      </c>
      <c r="S23">
        <f t="shared" si="0"/>
        <v>3</v>
      </c>
      <c r="T23">
        <f t="shared" si="1"/>
        <v>-2.1657700971483225</v>
      </c>
    </row>
    <row r="24" spans="2:20" x14ac:dyDescent="0.45">
      <c r="E24" s="1"/>
      <c r="F24" s="1"/>
      <c r="I24" s="1"/>
      <c r="J24" s="1"/>
      <c r="N24" s="1"/>
    </row>
    <row r="25" spans="2:20" x14ac:dyDescent="0.45">
      <c r="E25" s="1"/>
      <c r="F25" s="1"/>
      <c r="I25" s="1"/>
      <c r="J25" s="1"/>
      <c r="N25" s="1"/>
    </row>
    <row r="26" spans="2:20" x14ac:dyDescent="0.45">
      <c r="E26" s="1"/>
      <c r="F26" s="1"/>
      <c r="I26" s="1"/>
      <c r="J26" s="1"/>
      <c r="N26" s="1"/>
    </row>
    <row r="27" spans="2:20" x14ac:dyDescent="0.45">
      <c r="E27" s="1"/>
      <c r="F27" s="1"/>
      <c r="I27" s="1"/>
      <c r="J27" s="1"/>
      <c r="N27" s="1"/>
    </row>
    <row r="28" spans="2:20" x14ac:dyDescent="0.45">
      <c r="E28" s="1"/>
      <c r="F28" s="1"/>
      <c r="I28" s="1"/>
      <c r="J28" s="1"/>
      <c r="M28" t="s">
        <v>22</v>
      </c>
      <c r="N28" s="1"/>
    </row>
    <row r="29" spans="2:20" x14ac:dyDescent="0.45">
      <c r="E29" s="1"/>
      <c r="F29" s="1"/>
      <c r="I29" s="1"/>
      <c r="J29" s="1"/>
      <c r="L29" t="s">
        <v>20</v>
      </c>
      <c r="M29">
        <v>3.39E-2</v>
      </c>
      <c r="N29" s="1"/>
    </row>
    <row r="30" spans="2:20" x14ac:dyDescent="0.45">
      <c r="E30" s="1"/>
      <c r="F30" s="1"/>
      <c r="J30" s="1"/>
      <c r="L30" t="s">
        <v>27</v>
      </c>
      <c r="M30">
        <v>-8.0000000000000002E-3</v>
      </c>
    </row>
    <row r="31" spans="2:20" x14ac:dyDescent="0.45">
      <c r="E31" s="1"/>
      <c r="F31" s="1"/>
      <c r="J31" s="1"/>
      <c r="L31" s="1" t="s">
        <v>23</v>
      </c>
      <c r="N31" s="1"/>
    </row>
    <row r="32" spans="2:20" x14ac:dyDescent="0.45">
      <c r="E32" s="1"/>
      <c r="F32" s="1"/>
      <c r="J32" s="1"/>
      <c r="N32" s="1"/>
    </row>
    <row r="33" spans="5:15" x14ac:dyDescent="0.45">
      <c r="E33" s="1"/>
      <c r="F33" s="1"/>
      <c r="I33" s="1"/>
      <c r="J33" s="1"/>
      <c r="N33" s="1"/>
    </row>
    <row r="45" spans="5:15" x14ac:dyDescent="0.45">
      <c r="L45" s="3" t="s">
        <v>24</v>
      </c>
      <c r="M45" s="3"/>
      <c r="N45" s="3"/>
      <c r="O45" s="3"/>
    </row>
    <row r="46" spans="5:15" x14ac:dyDescent="0.45">
      <c r="L46" t="s">
        <v>25</v>
      </c>
      <c r="M46">
        <v>-1.4693000000000001</v>
      </c>
      <c r="N46" t="s">
        <v>20</v>
      </c>
      <c r="O46" s="2">
        <f>POWER(10,M46)</f>
        <v>3.393907487744291E-2</v>
      </c>
    </row>
    <row r="47" spans="5:15" x14ac:dyDescent="0.45">
      <c r="L47" t="s">
        <v>26</v>
      </c>
      <c r="M47">
        <v>-1.0083</v>
      </c>
      <c r="N47" t="s">
        <v>21</v>
      </c>
      <c r="O47">
        <f>M47+1</f>
        <v>-8.2999999999999741E-3</v>
      </c>
    </row>
  </sheetData>
  <mergeCells count="1">
    <mergeCell ref="L45:O4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328125"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328125"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2026-02-07T10:37:35Z</dcterms:modified>
</cp:coreProperties>
</file>