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43" documentId="11_3B4C4BD5A3134C433BE2D4C5F81F46E06E578F92" xr6:coauthVersionLast="47" xr6:coauthVersionMax="47" xr10:uidLastSave="{350CCB0D-6786-4B61-8789-06FE9436E85A}"/>
  <bookViews>
    <workbookView xWindow="-98" yWindow="-98" windowWidth="21795" windowHeight="13875" xr2:uid="{00000000-000D-0000-FFFF-FFFF00000000}"/>
  </bookViews>
  <sheets>
    <sheet name="Tabelle1" sheetId="1" r:id="rId1"/>
    <sheet name="Tabelle2" sheetId="2" r:id="rId2"/>
    <sheet name="Tabelle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" i="1" l="1"/>
  <c r="O41" i="1"/>
  <c r="O27" i="1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T3" i="1"/>
  <c r="S3" i="1"/>
</calcChain>
</file>

<file path=xl/sharedStrings.xml><?xml version="1.0" encoding="utf-8"?>
<sst xmlns="http://schemas.openxmlformats.org/spreadsheetml/2006/main" count="102" uniqueCount="32">
  <si>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</si>
  <si>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</si>
  <si>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</si>
  <si>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</si>
  <si>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</si>
  <si>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</si>
  <si>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</si>
  <si>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</si>
  <si>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</si>
  <si>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</si>
  <si>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</si>
  <si>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</si>
  <si>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</si>
  <si>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</si>
  <si>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</si>
  <si>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</si>
  <si>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</si>
  <si>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</si>
  <si>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</si>
  <si>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</si>
  <si>
    <t>Power</t>
  </si>
  <si>
    <t>K</t>
  </si>
  <si>
    <t>n-1</t>
  </si>
  <si>
    <t>Anmerkung: da ich eta und nicht sigma verwende, ist der Exponent (n-1)</t>
  </si>
  <si>
    <t>n</t>
  </si>
  <si>
    <t>linear</t>
  </si>
  <si>
    <t>log(K)</t>
  </si>
  <si>
    <t>(n-1)</t>
  </si>
  <si>
    <t>Python:</t>
  </si>
  <si>
    <t>für die linearisierung:</t>
  </si>
  <si>
    <t>log(gamma (s^-1))</t>
  </si>
  <si>
    <t>log(eta (Pas))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</si>
</sst>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Tabelle1!$I$2</c:f>
              <c:strCache>
                <c:ptCount val="1"/>
                <c:pt idx="0">
                  <c:v>gamma (s^-1)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</c:trendlineLbl>
          </c:trendline>
          <c:xVal>
            <c:numRef>
              <c:f>Tabelle1!$I$3:$I$16</c:f>
              <c:numCache>
                <c:formatCode>0.00E+00</c:formatCode>
                <c:ptCount val="14"/>
                <c:pt idx="0">
                  <c:v>0.1</c:v>
                </c:pt>
                <c:pt idx="1">
                  <c:v>0.1585</c:v>
                </c:pt>
                <c:pt idx="2">
                  <c:v>0.25119999999999998</c:v>
                </c:pt>
                <c:pt idx="3">
                  <c:v>0.39829999999999999</c:v>
                </c:pt>
                <c:pt idx="4">
                  <c:v>0.63100000000000001</c:v>
                </c:pt>
                <c:pt idx="5">
                  <c:v>1</c:v>
                </c:pt>
                <c:pt idx="6">
                  <c:v>1.585</c:v>
                </c:pt>
                <c:pt idx="7">
                  <c:v>2.512</c:v>
                </c:pt>
                <c:pt idx="8">
                  <c:v>3.9809999999999999</c:v>
                </c:pt>
                <c:pt idx="9">
                  <c:v>6.31</c:v>
                </c:pt>
                <c:pt idx="10">
                  <c:v>9.9979999999999993</c:v>
                </c:pt>
                <c:pt idx="11">
                  <c:v>15.85</c:v>
                </c:pt>
                <c:pt idx="12">
                  <c:v>25.12</c:v>
                </c:pt>
                <c:pt idx="13">
                  <c:v>39.81</c:v>
                </c:pt>
              </c:numCache>
            </c:numRef>
          </c:xVal>
          <c:yVal>
            <c:numRef>
              <c:f>Tabelle1!$J$3:$J$16</c:f>
              <c:numCache>
                <c:formatCode>0.00E+00</c:formatCode>
                <c:ptCount val="14"/>
                <c:pt idx="0">
                  <c:v>0.13189999999999999</c:v>
                </c:pt>
                <c:pt idx="1">
                  <c:v>9.7350000000000006E-2</c:v>
                </c:pt>
                <c:pt idx="2">
                  <c:v>4.3799999999999999E-2</c:v>
                </c:pt>
                <c:pt idx="3">
                  <c:v>3.8719999999999997E-2</c:v>
                </c:pt>
                <c:pt idx="4">
                  <c:v>2.027E-2</c:v>
                </c:pt>
                <c:pt idx="5">
                  <c:v>1.4760000000000001E-2</c:v>
                </c:pt>
                <c:pt idx="6">
                  <c:v>8.7410000000000005E-3</c:v>
                </c:pt>
                <c:pt idx="7">
                  <c:v>6.0809999999999996E-3</c:v>
                </c:pt>
                <c:pt idx="8">
                  <c:v>4.5729999999999998E-3</c:v>
                </c:pt>
                <c:pt idx="9">
                  <c:v>3.0799999999999998E-3</c:v>
                </c:pt>
                <c:pt idx="10">
                  <c:v>2.9710000000000001E-3</c:v>
                </c:pt>
                <c:pt idx="11">
                  <c:v>2.4599999999999999E-3</c:v>
                </c:pt>
                <c:pt idx="12">
                  <c:v>2.5089999999999999E-3</c:v>
                </c:pt>
                <c:pt idx="13">
                  <c:v>9.3360000000000003E-4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1A-4301-8BB9-C79B24E2D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03519"/>
        <c:axId val="1074903039"/>
      </c:scatterChart>
      <c:valAx>
        <c:axId val="107490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74903039"/>
        <c:crosses val="autoZero"/>
        <c:crossBetween val="midCat"/>
      </c:valAx>
      <c:valAx>
        <c:axId val="107490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74903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Tabelle1!$T$2</c:f>
              <c:strCache>
                <c:ptCount val="1"/>
                <c:pt idx="0">
                  <c:v>log(eta (Pas))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</c:trendlineLbl>
          </c:trendline>
          <c:xVal>
            <c:numRef>
              <c:f>Tabelle1!$S$3:$S$16</c:f>
              <c:numCache>
                <c:formatCode>General</c:formatCode>
                <c:ptCount val="14"/>
                <c:pt idx="0">
                  <c:v>-1</c:v>
                </c:pt>
                <c:pt idx="1">
                  <c:v>-0.79997073344622971</c:v>
                </c:pt>
                <c:pt idx="2">
                  <c:v>-0.59998036493484153</c:v>
                </c:pt>
                <c:pt idx="3">
                  <c:v>-0.39978969359067201</c:v>
                </c:pt>
                <c:pt idx="4">
                  <c:v>-0.19997064075586568</c:v>
                </c:pt>
                <c:pt idx="5">
                  <c:v>0</c:v>
                </c:pt>
                <c:pt idx="6">
                  <c:v>0.20002926655377029</c:v>
                </c:pt>
                <c:pt idx="7">
                  <c:v>0.40001963506515853</c:v>
                </c:pt>
                <c:pt idx="8">
                  <c:v>0.59999217758409795</c:v>
                </c:pt>
                <c:pt idx="9">
                  <c:v>0.80002935924413432</c:v>
                </c:pt>
                <c:pt idx="10">
                  <c:v>0.99991313241657143</c:v>
                </c:pt>
                <c:pt idx="11">
                  <c:v>1.2000292665537702</c:v>
                </c:pt>
                <c:pt idx="12">
                  <c:v>1.4000196350651586</c:v>
                </c:pt>
                <c:pt idx="13">
                  <c:v>1.599992177584098</c:v>
                </c:pt>
              </c:numCache>
            </c:numRef>
          </c:xVal>
          <c:yVal>
            <c:numRef>
              <c:f>Tabelle1!$T$3:$T$16</c:f>
              <c:numCache>
                <c:formatCode>General</c:formatCode>
                <c:ptCount val="14"/>
                <c:pt idx="0">
                  <c:v>-0.87975520445363475</c:v>
                </c:pt>
                <c:pt idx="1">
                  <c:v>-1.0116640441439495</c:v>
                </c:pt>
                <c:pt idx="2">
                  <c:v>-1.3585258894959005</c:v>
                </c:pt>
                <c:pt idx="3">
                  <c:v>-1.4120646513636439</c:v>
                </c:pt>
                <c:pt idx="4">
                  <c:v>-1.6931462513069913</c:v>
                </c:pt>
                <c:pt idx="5">
                  <c:v>-1.8309136425129773</c:v>
                </c:pt>
                <c:pt idx="6">
                  <c:v>-2.058438879763929</c:v>
                </c:pt>
                <c:pt idx="7">
                  <c:v>-2.2160249965873291</c:v>
                </c:pt>
                <c:pt idx="8">
                  <c:v>-2.3397987986193183</c:v>
                </c:pt>
                <c:pt idx="9">
                  <c:v>-2.5114492834995557</c:v>
                </c:pt>
                <c:pt idx="10">
                  <c:v>-2.5270973481963361</c:v>
                </c:pt>
                <c:pt idx="11">
                  <c:v>-2.6090648928966207</c:v>
                </c:pt>
                <c:pt idx="12">
                  <c:v>-2.6004993386853896</c:v>
                </c:pt>
                <c:pt idx="13">
                  <c:v>-3.0298391569626864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D0-435E-B959-131E43DF5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13679"/>
        <c:axId val="1074917039"/>
      </c:scatterChart>
      <c:valAx>
        <c:axId val="107491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74917039"/>
        <c:crosses val="autoZero"/>
        <c:crossBetween val="midCat"/>
      </c:valAx>
      <c:valAx>
        <c:axId val="107491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74913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507206</xdr:colOff>
      <xdr:row>20</xdr:row>
      <xdr:rowOff>133349</xdr:rowOff>
    </xdr:from>
    <xdr:to>
      <xdr:col>9</xdr:col>
      <xdr:colOff>511968</xdr:colOff>
      <xdr:row>35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A5DCE3-9A2F-E833-5735-2912172AD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504203</xdr:colOff>
      <xdr:row>35</xdr:row>
      <xdr:rowOff>142564</xdr:rowOff>
    </xdr:from>
    <xdr:to>
      <xdr:col>9</xdr:col>
      <xdr:colOff>510415</xdr:colOff>
      <xdr:row>50</xdr:row>
      <xdr:rowOff>168034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47BB92-5372-47FC-6CE4-67EAE4D1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372718</xdr:colOff>
      <xdr:row>58</xdr:row>
      <xdr:rowOff>98357</xdr:rowOff>
    </xdr:from>
    <xdr:to>
      <xdr:col>9</xdr:col>
      <xdr:colOff>512488</xdr:colOff>
      <xdr:row>75</xdr:row>
      <xdr:rowOff>155300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2E0C92E-A070-9813-DBF7-FC6087B7E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7229" y="10606917"/>
          <a:ext cx="4705558" cy="31370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0f9b98384af4391/Desktop/Morph/Python/Foraging/Rheometer/Main%20-%20eta/Evaluate/Input/DOE%208%201.00%20250%20108/DOE%208.7.2%20-%20Copy.xlsx" TargetMode="External"/><Relationship Id="rId1" Type="http://schemas.openxmlformats.org/officeDocument/2006/relationships/externalLinkPath" Target="/a0f9b98384af4391/Desktop/Morph/Python/Foraging/Rheometer/Main%20-%20eta/Evaluate/Input/DOE%208%201.00%20250%20108/DOE%208.7.2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  <sheetName val="Tabelle2"/>
      <sheetName val="Tabelle3"/>
    </sheetNames>
    <sheetDataSet>
      <sheetData sheetId="0">
        <row r="2">
          <cell r="J2" t="str">
            <v>eta (Pas)</v>
          </cell>
        </row>
        <row r="3">
          <cell r="I3">
            <v>9.9979999999999999E-2</v>
          </cell>
          <cell r="J3">
            <v>0.36280000000000001</v>
          </cell>
        </row>
        <row r="4">
          <cell r="I4">
            <v>0.1585</v>
          </cell>
          <cell r="J4">
            <v>0.1953</v>
          </cell>
        </row>
        <row r="5">
          <cell r="I5">
            <v>0.25119999999999998</v>
          </cell>
          <cell r="J5">
            <v>0.1263</v>
          </cell>
        </row>
        <row r="6">
          <cell r="I6">
            <v>0.39810000000000001</v>
          </cell>
          <cell r="J6">
            <v>8.4879999999999997E-2</v>
          </cell>
        </row>
        <row r="7">
          <cell r="I7">
            <v>0.63100000000000001</v>
          </cell>
          <cell r="J7">
            <v>5.1950000000000003E-2</v>
          </cell>
        </row>
        <row r="8">
          <cell r="I8">
            <v>1</v>
          </cell>
          <cell r="J8">
            <v>3.4970000000000001E-2</v>
          </cell>
        </row>
        <row r="9">
          <cell r="I9">
            <v>1.585</v>
          </cell>
          <cell r="J9">
            <v>2.4719999999999999E-2</v>
          </cell>
        </row>
        <row r="10">
          <cell r="I10">
            <v>2.512</v>
          </cell>
          <cell r="J10">
            <v>1.529E-2</v>
          </cell>
        </row>
        <row r="11">
          <cell r="I11">
            <v>3.9809999999999999</v>
          </cell>
          <cell r="J11">
            <v>9.476E-3</v>
          </cell>
        </row>
        <row r="12">
          <cell r="I12">
            <v>6.31</v>
          </cell>
          <cell r="J12">
            <v>5.2440000000000004E-3</v>
          </cell>
        </row>
        <row r="13">
          <cell r="I13">
            <v>10</v>
          </cell>
          <cell r="J13">
            <v>3.068E-3</v>
          </cell>
        </row>
        <row r="14">
          <cell r="I14">
            <v>15.85</v>
          </cell>
          <cell r="J14">
            <v>1.823E-3</v>
          </cell>
        </row>
        <row r="15">
          <cell r="I15">
            <v>25.12</v>
          </cell>
          <cell r="J15">
            <v>1.2179999999999999E-3</v>
          </cell>
        </row>
        <row r="16">
          <cell r="I16">
            <v>39.81</v>
          </cell>
          <cell r="J16">
            <v>8.8699999999999998E-4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8"/>
  <sheetViews>
    <sheetView tabSelected="1" topLeftCell="A22" zoomScale="93" workbookViewId="0">
      <selection activeCell="L42" sqref="L42"/>
    </sheetView>
  </sheetViews>
  <sheetFormatPr defaultColWidth="9.1328125" defaultRowHeight="14.25" x14ac:dyDescent="0.45"/>
  <sheetData>
    <row r="1" spans="2:20" x14ac:dyDescent="0.45">
      <c r="S1" t="s">
        <v>29</v>
      </c>
    </row>
    <row r="2" spans="2:20" x14ac:dyDescent="0.4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30</v>
      </c>
      <c r="T2" t="s">
        <v>31</v>
      </c>
    </row>
    <row r="3" spans="2:20" x14ac:dyDescent="0.45">
      <c r="B3">
        <v>1</v>
      </c>
      <c r="C3" t="s">
        <v>19</v>
      </c>
      <c r="D3" t="s">
        <v>0</v>
      </c>
      <c r="E3" s="1">
        <v>995.1</v>
      </c>
      <c r="F3">
        <v>90</v>
      </c>
      <c r="G3">
        <v>30</v>
      </c>
      <c r="H3" s="1">
        <v>1.319E-2</v>
      </c>
      <c r="I3" s="1">
        <v>0.1</v>
      </c>
      <c r="J3" s="1">
        <v>0.13189999999999999</v>
      </c>
      <c r="K3" s="1">
        <v>-0.23469999999999999</v>
      </c>
      <c r="L3" t="s">
        <v>1</v>
      </c>
      <c r="M3">
        <v>1</v>
      </c>
      <c r="N3" s="1">
        <v>7.9009999999999996E-7</v>
      </c>
      <c r="O3" s="1">
        <v>8.6820000000000005E-3</v>
      </c>
      <c r="P3">
        <v>0.94389999999999996</v>
      </c>
      <c r="Q3" s="1">
        <v>3.4039999999999999</v>
      </c>
      <c r="R3" t="s">
        <v>18</v>
      </c>
      <c r="S3">
        <f>LOG(I3)</f>
        <v>-1</v>
      </c>
      <c r="T3">
        <f>LOG(J3)</f>
        <v>-0.87975520445363475</v>
      </c>
    </row>
    <row r="4" spans="2:20" x14ac:dyDescent="0.4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1.5429999999999999E-2</v>
      </c>
      <c r="I4" s="1">
        <v>0.1585</v>
      </c>
      <c r="J4" s="1">
        <v>9.7350000000000006E-2</v>
      </c>
      <c r="K4" s="1">
        <v>-0.23430000000000001</v>
      </c>
      <c r="L4" t="s">
        <v>1</v>
      </c>
      <c r="M4">
        <v>1</v>
      </c>
      <c r="N4" s="1">
        <v>9.2399999999999996E-7</v>
      </c>
      <c r="O4" s="1">
        <v>1.375E-2</v>
      </c>
      <c r="P4">
        <v>1.01</v>
      </c>
      <c r="Q4" s="1">
        <v>4.6420000000000003</v>
      </c>
      <c r="R4" t="s">
        <v>18</v>
      </c>
      <c r="S4">
        <f t="shared" ref="S4:S20" si="0">LOG(I4)</f>
        <v>-0.79997073344622971</v>
      </c>
      <c r="T4">
        <f t="shared" ref="T4:T20" si="1">LOG(J4)</f>
        <v>-1.0116640441439495</v>
      </c>
    </row>
    <row r="5" spans="2:20" x14ac:dyDescent="0.4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1.0999999999999999E-2</v>
      </c>
      <c r="I5" s="1">
        <v>0.25119999999999998</v>
      </c>
      <c r="J5" s="1">
        <v>4.3799999999999999E-2</v>
      </c>
      <c r="K5" s="1">
        <v>-0.2341</v>
      </c>
      <c r="L5" t="s">
        <v>1</v>
      </c>
      <c r="M5">
        <v>1</v>
      </c>
      <c r="N5" s="1">
        <v>6.5880000000000005E-7</v>
      </c>
      <c r="O5" s="1">
        <v>2.179E-2</v>
      </c>
      <c r="P5" s="1">
        <v>1.048</v>
      </c>
      <c r="Q5" s="1">
        <v>0.3201</v>
      </c>
      <c r="R5" t="s">
        <v>18</v>
      </c>
      <c r="S5">
        <f t="shared" si="0"/>
        <v>-0.59998036493484153</v>
      </c>
      <c r="T5">
        <f t="shared" si="1"/>
        <v>-1.3585258894959005</v>
      </c>
    </row>
    <row r="6" spans="2:20" x14ac:dyDescent="0.4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1.542E-2</v>
      </c>
      <c r="I6" s="1">
        <v>0.39829999999999999</v>
      </c>
      <c r="J6" s="1">
        <v>3.8719999999999997E-2</v>
      </c>
      <c r="K6" s="1">
        <v>-0.2351</v>
      </c>
      <c r="L6" t="s">
        <v>1</v>
      </c>
      <c r="M6">
        <v>1</v>
      </c>
      <c r="N6" s="1">
        <v>9.2350000000000003E-7</v>
      </c>
      <c r="O6" s="1">
        <v>3.456E-2</v>
      </c>
      <c r="P6">
        <v>0.98780000000000001</v>
      </c>
      <c r="Q6" s="1">
        <v>3.43</v>
      </c>
      <c r="R6" t="s">
        <v>18</v>
      </c>
      <c r="S6">
        <f t="shared" si="0"/>
        <v>-0.39978969359067201</v>
      </c>
      <c r="T6">
        <f t="shared" si="1"/>
        <v>-1.4120646513636439</v>
      </c>
    </row>
    <row r="7" spans="2:20" x14ac:dyDescent="0.4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1.2789999999999999E-2</v>
      </c>
      <c r="I7" s="1">
        <v>0.63100000000000001</v>
      </c>
      <c r="J7" s="1">
        <v>2.027E-2</v>
      </c>
      <c r="K7" s="1">
        <v>-0.2354</v>
      </c>
      <c r="L7" t="s">
        <v>1</v>
      </c>
      <c r="M7">
        <v>1</v>
      </c>
      <c r="N7" s="1">
        <v>7.6609999999999996E-7</v>
      </c>
      <c r="O7" s="1">
        <v>5.4760000000000003E-2</v>
      </c>
      <c r="P7">
        <v>0.9335</v>
      </c>
      <c r="Q7" s="1">
        <v>2.0739999999999998</v>
      </c>
      <c r="R7" t="s">
        <v>18</v>
      </c>
      <c r="S7">
        <f t="shared" si="0"/>
        <v>-0.19997064075586568</v>
      </c>
      <c r="T7">
        <f t="shared" si="1"/>
        <v>-1.6931462513069913</v>
      </c>
    </row>
    <row r="8" spans="2:20" x14ac:dyDescent="0.4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1.4760000000000001E-2</v>
      </c>
      <c r="I8" s="1">
        <v>1</v>
      </c>
      <c r="J8" s="1">
        <v>1.4760000000000001E-2</v>
      </c>
      <c r="K8" s="1">
        <v>-0.23569999999999999</v>
      </c>
      <c r="L8" t="s">
        <v>1</v>
      </c>
      <c r="M8">
        <v>1</v>
      </c>
      <c r="N8" s="1">
        <v>8.8420000000000004E-7</v>
      </c>
      <c r="O8" s="1">
        <v>8.6779999999999996E-2</v>
      </c>
      <c r="P8">
        <v>0.8669</v>
      </c>
      <c r="Q8" s="1">
        <v>3.5990000000000002</v>
      </c>
      <c r="R8" t="s">
        <v>18</v>
      </c>
      <c r="S8">
        <f t="shared" si="0"/>
        <v>0</v>
      </c>
      <c r="T8">
        <f t="shared" si="1"/>
        <v>-1.8309136425129773</v>
      </c>
    </row>
    <row r="9" spans="2:20" x14ac:dyDescent="0.45">
      <c r="B9">
        <v>7</v>
      </c>
      <c r="C9" t="s">
        <v>19</v>
      </c>
      <c r="D9" t="s">
        <v>0</v>
      </c>
      <c r="E9" s="1">
        <v>1535</v>
      </c>
      <c r="F9">
        <v>630</v>
      </c>
      <c r="G9">
        <v>30</v>
      </c>
      <c r="H9" s="1">
        <v>1.3860000000000001E-2</v>
      </c>
      <c r="I9" s="1">
        <v>1.585</v>
      </c>
      <c r="J9" s="1">
        <v>8.7410000000000005E-3</v>
      </c>
      <c r="K9" s="1">
        <v>-0.23519999999999999</v>
      </c>
      <c r="L9" t="s">
        <v>1</v>
      </c>
      <c r="M9">
        <v>1</v>
      </c>
      <c r="N9" s="1">
        <v>8.2989999999999999E-7</v>
      </c>
      <c r="O9" s="1">
        <v>0.1376</v>
      </c>
      <c r="P9">
        <v>1.145</v>
      </c>
      <c r="Q9" s="1">
        <v>3.41</v>
      </c>
      <c r="R9" t="s">
        <v>18</v>
      </c>
      <c r="S9">
        <f t="shared" si="0"/>
        <v>0.20002926655377029</v>
      </c>
      <c r="T9">
        <f t="shared" si="1"/>
        <v>-2.058438879763929</v>
      </c>
    </row>
    <row r="10" spans="2:20" x14ac:dyDescent="0.45">
      <c r="B10">
        <v>8</v>
      </c>
      <c r="C10" t="s">
        <v>19</v>
      </c>
      <c r="D10" t="s">
        <v>0</v>
      </c>
      <c r="E10" s="1">
        <v>1625</v>
      </c>
      <c r="F10">
        <v>720</v>
      </c>
      <c r="G10">
        <v>30</v>
      </c>
      <c r="H10" s="1">
        <v>1.528E-2</v>
      </c>
      <c r="I10" s="1">
        <v>2.512</v>
      </c>
      <c r="J10" s="1">
        <v>6.0809999999999996E-3</v>
      </c>
      <c r="K10" s="1">
        <v>-0.2354</v>
      </c>
      <c r="L10" t="s">
        <v>1</v>
      </c>
      <c r="M10">
        <v>1</v>
      </c>
      <c r="N10" s="1">
        <v>9.1490000000000002E-7</v>
      </c>
      <c r="O10" s="1">
        <v>0.218</v>
      </c>
      <c r="P10">
        <v>0.99819999999999998</v>
      </c>
      <c r="Q10" s="1">
        <v>4.1749999999999998</v>
      </c>
      <c r="R10" t="s">
        <v>18</v>
      </c>
      <c r="S10">
        <f t="shared" si="0"/>
        <v>0.40001963506515853</v>
      </c>
      <c r="T10">
        <f t="shared" si="1"/>
        <v>-2.2160249965873291</v>
      </c>
    </row>
    <row r="11" spans="2:20" x14ac:dyDescent="0.45">
      <c r="B11">
        <v>9</v>
      </c>
      <c r="C11" t="s">
        <v>19</v>
      </c>
      <c r="D11" t="s">
        <v>0</v>
      </c>
      <c r="E11" s="1">
        <v>1715</v>
      </c>
      <c r="F11">
        <v>810.1</v>
      </c>
      <c r="G11">
        <v>30</v>
      </c>
      <c r="H11" s="1">
        <v>1.821E-2</v>
      </c>
      <c r="I11" s="1">
        <v>3.9809999999999999</v>
      </c>
      <c r="J11" s="1">
        <v>4.5729999999999998E-3</v>
      </c>
      <c r="K11" s="1">
        <v>-0.2349</v>
      </c>
      <c r="L11" t="s">
        <v>1</v>
      </c>
      <c r="M11">
        <v>1</v>
      </c>
      <c r="N11" s="1">
        <v>1.0899999999999999E-6</v>
      </c>
      <c r="O11" s="1">
        <v>0.34549999999999997</v>
      </c>
      <c r="P11">
        <v>1.1020000000000001</v>
      </c>
      <c r="Q11" s="1">
        <v>3.8490000000000002</v>
      </c>
      <c r="R11" t="s">
        <v>18</v>
      </c>
      <c r="S11">
        <f t="shared" si="0"/>
        <v>0.59999217758409795</v>
      </c>
      <c r="T11">
        <f t="shared" si="1"/>
        <v>-2.3397987986193183</v>
      </c>
    </row>
    <row r="12" spans="2:20" x14ac:dyDescent="0.45">
      <c r="B12">
        <v>10</v>
      </c>
      <c r="C12" t="s">
        <v>19</v>
      </c>
      <c r="D12" t="s">
        <v>0</v>
      </c>
      <c r="E12" s="1">
        <v>1805</v>
      </c>
      <c r="F12">
        <v>900.1</v>
      </c>
      <c r="G12">
        <v>30</v>
      </c>
      <c r="H12" s="1">
        <v>1.9429999999999999E-2</v>
      </c>
      <c r="I12" s="1">
        <v>6.31</v>
      </c>
      <c r="J12" s="1">
        <v>3.0799999999999998E-3</v>
      </c>
      <c r="K12" s="1">
        <v>-0.2356</v>
      </c>
      <c r="L12" t="s">
        <v>1</v>
      </c>
      <c r="M12">
        <v>1</v>
      </c>
      <c r="N12" s="1">
        <v>1.164E-6</v>
      </c>
      <c r="O12" s="1">
        <v>0.54759999999999998</v>
      </c>
      <c r="P12">
        <v>0.99299999999999999</v>
      </c>
      <c r="Q12" s="1">
        <v>2.8580000000000001</v>
      </c>
      <c r="R12" t="s">
        <v>18</v>
      </c>
      <c r="S12">
        <f t="shared" si="0"/>
        <v>0.80002935924413432</v>
      </c>
      <c r="T12">
        <f t="shared" si="1"/>
        <v>-2.5114492834995557</v>
      </c>
    </row>
    <row r="13" spans="2:20" x14ac:dyDescent="0.4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2.9700000000000001E-2</v>
      </c>
      <c r="I13" s="1">
        <v>9.9979999999999993</v>
      </c>
      <c r="J13" s="1">
        <v>2.9710000000000001E-3</v>
      </c>
      <c r="K13">
        <v>-0.23480000000000001</v>
      </c>
      <c r="L13" t="s">
        <v>1</v>
      </c>
      <c r="M13">
        <v>1</v>
      </c>
      <c r="N13" s="1">
        <v>1.779E-6</v>
      </c>
      <c r="O13" s="1">
        <v>0.86760000000000004</v>
      </c>
      <c r="P13">
        <v>0.87929999999999997</v>
      </c>
      <c r="Q13">
        <v>5.5460000000000003</v>
      </c>
      <c r="R13" t="s">
        <v>18</v>
      </c>
      <c r="S13">
        <f t="shared" si="0"/>
        <v>0.99991313241657143</v>
      </c>
      <c r="T13">
        <f t="shared" si="1"/>
        <v>-2.5270973481963361</v>
      </c>
    </row>
    <row r="14" spans="2:20" x14ac:dyDescent="0.4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3.8989999999999997E-2</v>
      </c>
      <c r="I14" s="1">
        <v>15.85</v>
      </c>
      <c r="J14" s="1">
        <v>2.4599999999999999E-3</v>
      </c>
      <c r="K14">
        <v>-0.2354</v>
      </c>
      <c r="L14" t="s">
        <v>1</v>
      </c>
      <c r="M14">
        <v>1</v>
      </c>
      <c r="N14" s="1">
        <v>2.3350000000000001E-6</v>
      </c>
      <c r="O14" s="1">
        <v>1.375</v>
      </c>
      <c r="P14">
        <v>1.6359999999999999</v>
      </c>
      <c r="Q14">
        <v>3.65</v>
      </c>
      <c r="R14" t="s">
        <v>18</v>
      </c>
      <c r="S14">
        <f t="shared" si="0"/>
        <v>1.2000292665537702</v>
      </c>
      <c r="T14">
        <f t="shared" si="1"/>
        <v>-2.6090648928966207</v>
      </c>
    </row>
    <row r="15" spans="2:20" x14ac:dyDescent="0.4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6.3020000000000007E-2</v>
      </c>
      <c r="I15" s="1">
        <v>25.12</v>
      </c>
      <c r="J15" s="1">
        <v>2.5089999999999999E-3</v>
      </c>
      <c r="K15">
        <v>-0.2349</v>
      </c>
      <c r="L15" t="s">
        <v>1</v>
      </c>
      <c r="M15">
        <v>1</v>
      </c>
      <c r="N15" s="1">
        <v>3.7740000000000002E-6</v>
      </c>
      <c r="O15" s="1">
        <v>2.1789999999999998</v>
      </c>
      <c r="P15">
        <v>-1.0609999999999999</v>
      </c>
      <c r="Q15">
        <v>5.0490000000000004</v>
      </c>
      <c r="R15" t="s">
        <v>18</v>
      </c>
      <c r="S15">
        <f t="shared" si="0"/>
        <v>1.4000196350651586</v>
      </c>
      <c r="T15">
        <f t="shared" si="1"/>
        <v>-2.6004993386853896</v>
      </c>
    </row>
    <row r="16" spans="2:20" x14ac:dyDescent="0.4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3.7170000000000002E-2</v>
      </c>
      <c r="I16" s="1">
        <v>39.81</v>
      </c>
      <c r="J16" s="1">
        <v>9.3360000000000003E-4</v>
      </c>
      <c r="K16">
        <v>-0.23480000000000001</v>
      </c>
      <c r="L16" t="s">
        <v>1</v>
      </c>
      <c r="M16">
        <v>1</v>
      </c>
      <c r="N16" s="1">
        <v>2.2259999999999999E-6</v>
      </c>
      <c r="O16" s="1">
        <v>3.4550000000000001</v>
      </c>
      <c r="P16">
        <v>0.88629999999999998</v>
      </c>
      <c r="Q16">
        <v>1.7889999999999999</v>
      </c>
      <c r="R16" t="s">
        <v>18</v>
      </c>
      <c r="S16">
        <f t="shared" si="0"/>
        <v>1.599992177584098</v>
      </c>
      <c r="T16">
        <f t="shared" si="1"/>
        <v>-3.0298391569626864</v>
      </c>
    </row>
    <row r="17" spans="2:20" x14ac:dyDescent="0.4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7.6130000000000003E-2</v>
      </c>
      <c r="I17" s="1">
        <v>63.1</v>
      </c>
      <c r="J17" s="1">
        <v>1.207E-3</v>
      </c>
      <c r="K17">
        <v>-0.23599999999999999</v>
      </c>
      <c r="L17" t="s">
        <v>1</v>
      </c>
      <c r="M17">
        <v>1</v>
      </c>
      <c r="N17" s="1">
        <v>4.5589999999999999E-6</v>
      </c>
      <c r="O17" s="1">
        <v>5.476</v>
      </c>
      <c r="P17">
        <v>0.96689999999999998</v>
      </c>
      <c r="Q17">
        <v>4.3949999999999996</v>
      </c>
      <c r="R17" t="s">
        <v>18</v>
      </c>
      <c r="S17">
        <f t="shared" si="0"/>
        <v>1.8000293592441343</v>
      </c>
      <c r="T17">
        <f t="shared" si="1"/>
        <v>-2.9182927299026509</v>
      </c>
    </row>
    <row r="18" spans="2:20" x14ac:dyDescent="0.4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0.13450000000000001</v>
      </c>
      <c r="I18">
        <v>100</v>
      </c>
      <c r="J18" s="1">
        <v>1.3450000000000001E-3</v>
      </c>
      <c r="K18">
        <v>-0.23630000000000001</v>
      </c>
      <c r="L18" t="s">
        <v>1</v>
      </c>
      <c r="M18">
        <v>1</v>
      </c>
      <c r="N18" s="1">
        <v>8.0579999999999998E-6</v>
      </c>
      <c r="O18" s="1">
        <v>8.6780000000000008</v>
      </c>
      <c r="P18">
        <v>1.0209999999999999</v>
      </c>
      <c r="Q18">
        <v>6.2089999999999996</v>
      </c>
      <c r="R18" t="s">
        <v>18</v>
      </c>
      <c r="S18">
        <f t="shared" si="0"/>
        <v>2</v>
      </c>
      <c r="T18">
        <f t="shared" si="1"/>
        <v>-2.8712777156615732</v>
      </c>
    </row>
    <row r="19" spans="2:20" x14ac:dyDescent="0.4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0.27910000000000001</v>
      </c>
      <c r="I19">
        <v>158.5</v>
      </c>
      <c r="J19" s="1">
        <v>1.761E-3</v>
      </c>
      <c r="K19">
        <v>-0.2369</v>
      </c>
      <c r="L19" t="s">
        <v>1</v>
      </c>
      <c r="M19">
        <v>1</v>
      </c>
      <c r="N19" s="1">
        <v>1.6710000000000001E-5</v>
      </c>
      <c r="O19">
        <v>13.75</v>
      </c>
      <c r="P19">
        <v>0.98829999999999996</v>
      </c>
      <c r="Q19">
        <v>6.0629999999999997</v>
      </c>
      <c r="R19" t="s">
        <v>18</v>
      </c>
      <c r="S19">
        <f t="shared" si="0"/>
        <v>2.2000292665537704</v>
      </c>
      <c r="T19">
        <f t="shared" si="1"/>
        <v>-2.754240644032723</v>
      </c>
    </row>
    <row r="20" spans="2:20" x14ac:dyDescent="0.45">
      <c r="B20">
        <v>18</v>
      </c>
      <c r="C20" t="s">
        <v>19</v>
      </c>
      <c r="D20" t="s">
        <v>0</v>
      </c>
      <c r="E20" s="1">
        <v>2525</v>
      </c>
      <c r="F20" s="1">
        <v>1620</v>
      </c>
      <c r="G20">
        <v>30</v>
      </c>
      <c r="H20" s="1">
        <v>0.56889999999999996</v>
      </c>
      <c r="I20">
        <v>250</v>
      </c>
      <c r="J20" s="1">
        <v>2.2759999999999998E-3</v>
      </c>
      <c r="K20">
        <v>-0.2382</v>
      </c>
      <c r="L20" t="s">
        <v>1</v>
      </c>
      <c r="M20">
        <v>1</v>
      </c>
      <c r="N20" s="1">
        <v>3.4069999999999997E-5</v>
      </c>
      <c r="O20">
        <v>21.7</v>
      </c>
      <c r="P20">
        <v>1</v>
      </c>
      <c r="Q20">
        <v>4.3120000000000003</v>
      </c>
      <c r="R20" t="s">
        <v>18</v>
      </c>
      <c r="S20">
        <f t="shared" si="0"/>
        <v>2.3979400086720375</v>
      </c>
      <c r="T20">
        <f t="shared" si="1"/>
        <v>-2.6428277422769666</v>
      </c>
    </row>
    <row r="21" spans="2:20" x14ac:dyDescent="0.45">
      <c r="E21" s="1"/>
      <c r="F21" s="1"/>
      <c r="H21" s="1"/>
      <c r="I21" s="1"/>
      <c r="J21" s="1"/>
      <c r="N21" s="1"/>
    </row>
    <row r="22" spans="2:20" x14ac:dyDescent="0.45">
      <c r="E22" s="1"/>
      <c r="F22" s="1"/>
      <c r="H22" s="1"/>
      <c r="J22" s="1"/>
      <c r="K22" s="1"/>
      <c r="N22" s="1"/>
    </row>
    <row r="23" spans="2:20" x14ac:dyDescent="0.45">
      <c r="E23" s="1"/>
      <c r="F23" s="1"/>
      <c r="I23" s="1"/>
      <c r="J23" s="1"/>
      <c r="N23" s="1"/>
    </row>
    <row r="24" spans="2:20" x14ac:dyDescent="0.45">
      <c r="E24" s="1"/>
      <c r="F24" s="1"/>
      <c r="I24" s="1"/>
      <c r="J24" s="1"/>
      <c r="N24" s="1"/>
    </row>
    <row r="25" spans="2:20" x14ac:dyDescent="0.45">
      <c r="E25" s="1"/>
      <c r="F25" s="1"/>
      <c r="I25" s="1"/>
      <c r="J25" s="1"/>
      <c r="M25" t="s">
        <v>20</v>
      </c>
      <c r="N25" s="1"/>
    </row>
    <row r="26" spans="2:20" x14ac:dyDescent="0.45">
      <c r="E26" s="1"/>
      <c r="F26" s="1"/>
      <c r="I26" s="1"/>
      <c r="J26" s="1"/>
      <c r="L26" t="s">
        <v>21</v>
      </c>
      <c r="M26">
        <v>1.6799999999999999E-2</v>
      </c>
      <c r="N26" s="1"/>
    </row>
    <row r="27" spans="2:20" x14ac:dyDescent="0.45">
      <c r="E27" s="1"/>
      <c r="F27" s="1"/>
      <c r="I27" s="1"/>
      <c r="J27" s="1"/>
      <c r="L27" t="s">
        <v>22</v>
      </c>
      <c r="M27">
        <v>-0.77200000000000002</v>
      </c>
      <c r="N27" s="1" t="s">
        <v>24</v>
      </c>
      <c r="O27">
        <f>M27+1</f>
        <v>0.22799999999999998</v>
      </c>
    </row>
    <row r="28" spans="2:20" x14ac:dyDescent="0.45">
      <c r="E28" s="1"/>
      <c r="F28" s="1"/>
      <c r="I28" s="1"/>
      <c r="J28" s="1"/>
      <c r="L28" s="1" t="s">
        <v>23</v>
      </c>
      <c r="N28" s="1"/>
    </row>
    <row r="29" spans="2:20" x14ac:dyDescent="0.45">
      <c r="E29" s="1"/>
      <c r="F29" s="1"/>
      <c r="I29" s="1"/>
      <c r="J29" s="1"/>
      <c r="N29" s="1"/>
    </row>
    <row r="30" spans="2:20" x14ac:dyDescent="0.45">
      <c r="E30" s="1"/>
      <c r="F30" s="1"/>
      <c r="J30" s="1"/>
      <c r="N30" s="1"/>
    </row>
    <row r="31" spans="2:20" x14ac:dyDescent="0.45">
      <c r="E31" s="1"/>
      <c r="F31" s="1"/>
      <c r="J31" s="1"/>
      <c r="N31" s="1"/>
    </row>
    <row r="32" spans="2:20" x14ac:dyDescent="0.45">
      <c r="E32" s="1"/>
      <c r="F32" s="1"/>
      <c r="J32" s="1"/>
      <c r="N32" s="1"/>
    </row>
    <row r="33" spans="5:15" x14ac:dyDescent="0.45">
      <c r="E33" s="1"/>
      <c r="F33" s="1"/>
      <c r="I33" s="1"/>
      <c r="J33" s="1"/>
      <c r="N33" s="1"/>
    </row>
    <row r="40" spans="5:15" x14ac:dyDescent="0.45">
      <c r="L40" s="2" t="s">
        <v>25</v>
      </c>
      <c r="M40" s="2"/>
      <c r="N40" s="2"/>
      <c r="O40" s="2"/>
    </row>
    <row r="41" spans="5:15" x14ac:dyDescent="0.45">
      <c r="L41" t="s">
        <v>26</v>
      </c>
      <c r="M41">
        <v>-1.7739</v>
      </c>
      <c r="N41" t="s">
        <v>21</v>
      </c>
      <c r="O41" s="3">
        <f>POWER(10,M41)</f>
        <v>1.6830615557016624E-2</v>
      </c>
    </row>
    <row r="42" spans="5:15" x14ac:dyDescent="0.45">
      <c r="L42" t="s">
        <v>27</v>
      </c>
      <c r="M42">
        <v>-0.7722</v>
      </c>
      <c r="N42" t="s">
        <v>24</v>
      </c>
      <c r="O42">
        <f>M42+1</f>
        <v>0.2278</v>
      </c>
    </row>
    <row r="58" spans="4:4" x14ac:dyDescent="0.45">
      <c r="D58" t="s">
        <v>28</v>
      </c>
    </row>
  </sheetData>
  <mergeCells count="1">
    <mergeCell ref="L40:O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328125"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328125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2026-02-07T10:53:21Z</dcterms:modified>
</cp:coreProperties>
</file>